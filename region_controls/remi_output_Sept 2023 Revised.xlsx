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defaultThemeVersion="166925"/>
  <mc:AlternateContent xmlns:mc="http://schemas.openxmlformats.org/markup-compatibility/2006">
    <mc:Choice Requires="x15">
      <x15ac:absPath xmlns:x15ac="http://schemas.microsoft.com/office/spreadsheetml/2010/11/ac" url="T:\socioec\population sim\region_controls\"/>
    </mc:Choice>
  </mc:AlternateContent>
  <xr:revisionPtr revIDLastSave="0" documentId="8_{5D6E95EA-2B57-4780-A3BC-C8E330E262FE}" xr6:coauthVersionLast="47" xr6:coauthVersionMax="47" xr10:uidLastSave="{00000000-0000-0000-0000-000000000000}"/>
  <bookViews>
    <workbookView xWindow="-110" yWindow="-110" windowWidth="25180" windowHeight="16260" tabRatio="822" activeTab="1" xr2:uid="{5A28D96E-6006-49A7-8178-8B92321C61C5}"/>
  </bookViews>
  <sheets>
    <sheet name="Intro" sheetId="21" r:id="rId1"/>
    <sheet name="1a. Summary Forecast_Attraction" sheetId="67" r:id="rId2"/>
    <sheet name="1b. Summary Forecast_Production" sheetId="37" r:id="rId3"/>
    <sheet name="2. Labor Force Components" sheetId="6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67" l="1"/>
  <c r="G13" i="67"/>
  <c r="E20" i="67"/>
  <c r="H29" i="67"/>
  <c r="G29" i="67"/>
  <c r="I28" i="67"/>
  <c r="H28" i="67"/>
  <c r="L28" i="67"/>
  <c r="K28" i="67"/>
  <c r="E29" i="67"/>
  <c r="I29" i="67"/>
  <c r="J29" i="67"/>
  <c r="L29" i="67"/>
  <c r="K29" i="67"/>
  <c r="L12" i="67"/>
  <c r="E12" i="67"/>
  <c r="E11" i="67"/>
  <c r="H27" i="67"/>
  <c r="G27" i="67"/>
  <c r="I26" i="67"/>
  <c r="H26" i="67"/>
  <c r="J25" i="67"/>
  <c r="I25" i="67"/>
  <c r="K24" i="67"/>
  <c r="J24" i="67"/>
  <c r="L17" i="67"/>
  <c r="K17" i="67"/>
  <c r="L16" i="67"/>
  <c r="E16" i="67"/>
  <c r="E14" i="67"/>
  <c r="H14" i="67"/>
  <c r="G14" i="67"/>
  <c r="H15" i="67"/>
  <c r="I15" i="67"/>
  <c r="L19" i="67"/>
  <c r="K19" i="67"/>
  <c r="L18" i="67"/>
  <c r="E18" i="67"/>
  <c r="E23" i="67"/>
  <c r="H20" i="67"/>
  <c r="G20" i="67"/>
  <c r="I21" i="67"/>
  <c r="H21" i="67"/>
  <c r="I13" i="67"/>
  <c r="K13" i="67"/>
  <c r="J13" i="67"/>
  <c r="L27" i="67"/>
  <c r="K27" i="67"/>
  <c r="L26" i="67"/>
  <c r="E26" i="67"/>
  <c r="E25" i="67"/>
  <c r="H17" i="67"/>
  <c r="G17" i="67"/>
  <c r="I16" i="67"/>
  <c r="H16" i="67"/>
  <c r="J14" i="67"/>
  <c r="I14" i="67"/>
  <c r="K15" i="67"/>
  <c r="J15" i="67"/>
  <c r="L14" i="67"/>
  <c r="K14" i="67"/>
  <c r="L15" i="67"/>
  <c r="E15" i="67"/>
  <c r="H19" i="67"/>
  <c r="G19" i="67"/>
  <c r="I18" i="67"/>
  <c r="H18" i="67"/>
  <c r="J23" i="67"/>
  <c r="I23" i="67"/>
  <c r="K22" i="67"/>
  <c r="J22" i="67"/>
  <c r="L20" i="67"/>
  <c r="K20" i="67"/>
  <c r="L21" i="67"/>
  <c r="E21" i="67"/>
  <c r="F29" i="67"/>
  <c r="J28" i="67"/>
  <c r="G28" i="67"/>
  <c r="F28" i="67"/>
  <c r="E28" i="67"/>
  <c r="J27" i="67"/>
  <c r="I27" i="67"/>
  <c r="F27" i="67"/>
  <c r="E27" i="67"/>
  <c r="K26" i="67"/>
  <c r="J26" i="67"/>
  <c r="G26" i="67"/>
  <c r="F26" i="67"/>
  <c r="L25" i="67"/>
  <c r="K25" i="67"/>
  <c r="H25" i="67"/>
  <c r="G25" i="67"/>
  <c r="F25" i="67"/>
  <c r="L24" i="67"/>
  <c r="I24" i="67"/>
  <c r="H24" i="67"/>
  <c r="G24" i="67"/>
  <c r="F24" i="67"/>
  <c r="E24" i="67"/>
  <c r="L23" i="67"/>
  <c r="K23" i="67"/>
  <c r="H23" i="67"/>
  <c r="G23" i="67"/>
  <c r="F23" i="67"/>
  <c r="L22" i="67"/>
  <c r="I22" i="67"/>
  <c r="H22" i="67"/>
  <c r="G22" i="67"/>
  <c r="F22" i="67"/>
  <c r="E22" i="67"/>
  <c r="K21" i="67"/>
  <c r="J21" i="67"/>
  <c r="G21" i="67"/>
  <c r="F21" i="67"/>
  <c r="J20" i="67"/>
  <c r="I20" i="67"/>
  <c r="F20" i="67"/>
  <c r="J19" i="67"/>
  <c r="I19" i="67"/>
  <c r="F19" i="67"/>
  <c r="E19" i="67"/>
  <c r="K18" i="67"/>
  <c r="J18" i="67"/>
  <c r="G18" i="67"/>
  <c r="F18" i="67"/>
  <c r="J17" i="67"/>
  <c r="I17" i="67"/>
  <c r="F17" i="67"/>
  <c r="E17" i="67"/>
  <c r="K16" i="67"/>
  <c r="J16" i="67"/>
  <c r="G16" i="67"/>
  <c r="F16" i="67"/>
  <c r="G15" i="67"/>
  <c r="F15" i="67"/>
  <c r="F14" i="67"/>
  <c r="L13" i="67"/>
  <c r="H13" i="67"/>
  <c r="F13" i="67"/>
  <c r="K12" i="67"/>
  <c r="J12" i="67"/>
  <c r="I12" i="67"/>
  <c r="H12" i="67"/>
  <c r="G12" i="67"/>
  <c r="F12" i="67"/>
  <c r="L11" i="67"/>
  <c r="K11" i="67"/>
  <c r="J11" i="67"/>
  <c r="I11" i="67"/>
  <c r="H11" i="67"/>
  <c r="G11" i="67"/>
  <c r="F11" i="67"/>
  <c r="H30" i="67" l="1"/>
  <c r="L30" i="67"/>
  <c r="F30" i="67"/>
  <c r="I30" i="67"/>
  <c r="E30" i="67"/>
  <c r="J30" i="67"/>
  <c r="K30" i="67"/>
  <c r="G30" i="67"/>
</calcChain>
</file>

<file path=xl/sharedStrings.xml><?xml version="1.0" encoding="utf-8"?>
<sst xmlns="http://schemas.openxmlformats.org/spreadsheetml/2006/main" count="325" uniqueCount="164">
  <si>
    <t>9/19/2023 - this file was reviewed by QA</t>
  </si>
  <si>
    <t xml:space="preserve">File for Employment Forecast, Regional Controls </t>
  </si>
  <si>
    <t>Base year: 2022; Forecast years are: 2026, 2029, 2032, 2035, 2040, 2050, 2060</t>
  </si>
  <si>
    <t>This file replaces the file named "Emp calc_for regional control totals_forecast years_July2023.xlsx"</t>
  </si>
  <si>
    <t>This file was created in September 2023. It reflect the employment calc rebuild completed on 9/14/2023. Changes are based on discussions with E&amp;F and QA. This file provides new regional control totals for forecast employment for 2022-2060, inclusive. The renew regional control (1) create consistency in 2022 and post-2022 govn't job reallocation; and (2) reflect revised approach to employment in agriculture, fisheries, forestry</t>
  </si>
  <si>
    <t>1a. Summary Forecast_Attraction</t>
  </si>
  <si>
    <t>Table summarizes jobs by sector for the attraction sides based on REMI total jobs</t>
  </si>
  <si>
    <t xml:space="preserve">Attraction summarizes all jobs in the region using a "17+2 aggregation". The "17" are all W&amp;S jobs (regardless of SD res or commuter). The "+2" allocate non-W&amp;S jobs into two categories: (1) work from home (WFH) - aggregates all nonW&amp;S jobs that have "home" as the siting rule; (2) not work from home (Not WFH) - aggregates all nonW&amp;S jobs that have "everywhere" or "EDD" as a siting rule. </t>
  </si>
  <si>
    <t xml:space="preserve">Total jobs forecasted for the region from REMI does not match levels in this jobs forecast because: </t>
  </si>
  <si>
    <t>(1) reallocation of govn't employment in (federal, state, local) for education, health care, arts and entertainment. The last category specifically addresses tribal-owned establishments (casino and casino resorts) plus Del Mar racetrack/fairgrounds.</t>
  </si>
  <si>
    <t>(2) replace REMI forecasted employment for farm, fisheries, forestry and hunting with EDD estimates for NAICS 11 - Agriculture, fisheries and foreastry and assumed all employment in this sctors is wage and salary</t>
  </si>
  <si>
    <t>1b. Summary Forecast_Production</t>
  </si>
  <si>
    <t>Table summarizing primary job by sector for the production side based on REMI total jobs</t>
  </si>
  <si>
    <r>
      <t xml:space="preserve">Production represents the industry distribution for the primary job of SD residents engaged in the labor market. This allocation does not differentiate between wage and salary and non-wage and salary workers. </t>
    </r>
    <r>
      <rPr>
        <i/>
        <sz val="11"/>
        <color theme="1"/>
        <rFont val="Calibri"/>
        <family val="2"/>
        <scheme val="minor"/>
      </rPr>
      <t>Farm proprietor is removed</t>
    </r>
    <r>
      <rPr>
        <sz val="11"/>
        <color theme="1"/>
        <rFont val="Calibri"/>
        <family val="2"/>
        <scheme val="minor"/>
      </rPr>
      <t xml:space="preserve"> since all NAICS 11 jobs are treated as as wage and salary.</t>
    </r>
  </si>
  <si>
    <t xml:space="preserve">2. Labor force components </t>
  </si>
  <si>
    <t>Table provide race/ethnicity composition of Civilian Labor Force for 2022-2060</t>
  </si>
  <si>
    <t>NOTES ON CHANGES</t>
  </si>
  <si>
    <t>1. Reflects new REMI run 7/21/2023 based on July update to population forecats by SANDAG and DOF</t>
  </si>
  <si>
    <t>2. Incorporates new disaggregation of industries</t>
  </si>
  <si>
    <t>3. Incorporates reallocation of govn't jobs to industries</t>
  </si>
  <si>
    <t xml:space="preserve">4. This file builds on: </t>
  </si>
  <si>
    <t>corrections made 5/2/2023 based on QA findings</t>
  </si>
  <si>
    <t xml:space="preserve">corrections include: </t>
  </si>
  <si>
    <t>[LEHD_RAC_2019] column J is incorrectly labeled as “Private to all jobs.” Should be “Private Primary to All Jobs” and formula documented should be “JT03/JT00”</t>
  </si>
  <si>
    <t>correction "inflow" share to reflect % of all super sector jobs rather than share of inflow</t>
  </si>
  <si>
    <t>clarificaiton of farm empl for BEA reference</t>
  </si>
  <si>
    <t xml:space="preserve">5. 8/10/23, tab "2. labor force components" added at request of E&amp;F. The labor force by race/ethnicity disaggregration based on REMI run (7/21/2023) that is the foundation for the economic forecast. </t>
  </si>
  <si>
    <t>6. 8/15/2023, regional controls updated based on responses to QA findings .</t>
  </si>
  <si>
    <t xml:space="preserve">7. 8/15/2023 labor force components table corrected to reflect San Diego only rather than US. </t>
  </si>
  <si>
    <t>8. 8/16/2023 production forecast numbers updated based on 8/16 QA findings</t>
  </si>
  <si>
    <t xml:space="preserve">9. 9/14/2023 </t>
  </si>
  <si>
    <t>Basis for employment in  agriculture fisheries and forestry changed. Create Supersector NAICS 11 - Agricultural, fisheries and forestry. Employment in this sector based on EDD data and grown overtime based on year over year change in employment from REMI (industry, forestry fishery and hunting) and farm).  This change applies to all years (2022-2060, inclusive). With use of EDD employment, employment forecast does not include farm proprietor, all jobs assumed to be wage and salary.  This change flows from attraction to production estimates. Use of EDD (and drop of farm proprietor) reflect E&amp;F use of EDD to site this sector's employment.</t>
  </si>
  <si>
    <t>2022 base year re-estimated using new NAICS 11 approach AND brings in alignment with govn't reallocation approach implemented in the August Emp forecast file.</t>
  </si>
  <si>
    <t xml:space="preserve">10. 9/19/2023 </t>
  </si>
  <si>
    <t>Based on QA review, use QCEW 2019 estimates for NAICS 11</t>
  </si>
  <si>
    <t>Summary</t>
  </si>
  <si>
    <t xml:space="preserve">NOTES: </t>
  </si>
  <si>
    <t>Base year, 2022 and forecast years: 2026, 2029, 2032, 2035, 2040, 2050, 2060</t>
  </si>
  <si>
    <t>All jobs in SD (1)=All jobs in SD filled by SD residents (2) + Commuter-filled SD jobs (3)</t>
  </si>
  <si>
    <t>SD jobs filled by SD residents (2) = W&amp;S jobs filled by SD residents (2a) + non-W&amp;S jobs filled by SD residents (2b)</t>
  </si>
  <si>
    <t>All commuter filled jobs in SD are treated as W&amp;S</t>
  </si>
  <si>
    <t>All govn't jobs are treated as W&amp;S</t>
  </si>
  <si>
    <t>Long Name</t>
  </si>
  <si>
    <t>CVM19 Sector</t>
  </si>
  <si>
    <t>Short Name</t>
  </si>
  <si>
    <t>NAICS</t>
  </si>
  <si>
    <t>Government</t>
  </si>
  <si>
    <t>emp_gov</t>
  </si>
  <si>
    <t>Military</t>
  </si>
  <si>
    <t>emp_mil</t>
  </si>
  <si>
    <t>--</t>
  </si>
  <si>
    <t>Agriculture, forestry, fishing and hunting, and mining</t>
  </si>
  <si>
    <t>emp_ag_min</t>
  </si>
  <si>
    <t>11, 21</t>
  </si>
  <si>
    <t>Business Services &amp; Waste Management</t>
  </si>
  <si>
    <t>emp_bus_svcs</t>
  </si>
  <si>
    <t>51, 54, 56</t>
  </si>
  <si>
    <t>FIRE &amp; Mgmt Enterprises</t>
  </si>
  <si>
    <t>emp_fin_res_mgm</t>
  </si>
  <si>
    <t>52, 53, 55</t>
  </si>
  <si>
    <t>Education (private &amp; public)</t>
  </si>
  <si>
    <t>emp_educ</t>
  </si>
  <si>
    <t>Healthcare (private &amp; public)</t>
  </si>
  <si>
    <t>emp_hlth</t>
  </si>
  <si>
    <t>Retail</t>
  </si>
  <si>
    <t>emp_ret</t>
  </si>
  <si>
    <t>44, 45</t>
  </si>
  <si>
    <t>Transportation &amp; Warehousing</t>
  </si>
  <si>
    <t>emp_trn_wrh</t>
  </si>
  <si>
    <t>48, 49</t>
  </si>
  <si>
    <t>Construction</t>
  </si>
  <si>
    <t>emp_con</t>
  </si>
  <si>
    <t xml:space="preserve">Utilities </t>
  </si>
  <si>
    <t>emp_utl</t>
  </si>
  <si>
    <t>Manufacturing</t>
  </si>
  <si>
    <t>emp_mnf</t>
  </si>
  <si>
    <t>31-33</t>
  </si>
  <si>
    <t>Wholesale</t>
  </si>
  <si>
    <t>emp_whl</t>
  </si>
  <si>
    <t>Entertainment</t>
  </si>
  <si>
    <t>emp_ent</t>
  </si>
  <si>
    <t>Accomodation</t>
  </si>
  <si>
    <t>emp_accm</t>
  </si>
  <si>
    <t>Food Services</t>
  </si>
  <si>
    <t>emp_food</t>
  </si>
  <si>
    <t>Other Services</t>
  </si>
  <si>
    <t>emp_oth</t>
  </si>
  <si>
    <t>Non-Wage/Salary WFH</t>
  </si>
  <si>
    <t>emp_non_ws_wfh</t>
  </si>
  <si>
    <t>Non-Wage/Salary Non-WFH</t>
  </si>
  <si>
    <t>emp_non_ws_oth</t>
  </si>
  <si>
    <t xml:space="preserve">total </t>
  </si>
  <si>
    <t>1. ALL JOBS in SD</t>
  </si>
  <si>
    <t>All Industry (no govn't)</t>
  </si>
  <si>
    <t>NAICS 11 (ag, fisheries and forestry)</t>
  </si>
  <si>
    <t>Mining</t>
  </si>
  <si>
    <t>Utilities</t>
  </si>
  <si>
    <t>Wholesale trade</t>
  </si>
  <si>
    <t>Retail trade</t>
  </si>
  <si>
    <t>Transportation and warehousing</t>
  </si>
  <si>
    <t>Information</t>
  </si>
  <si>
    <t>Finance and insurance</t>
  </si>
  <si>
    <t>Real estate and rental and leasing</t>
  </si>
  <si>
    <t>Professional, scientific, and technical services</t>
  </si>
  <si>
    <t>Management of companies and enterprises</t>
  </si>
  <si>
    <t>Administrative, support, waste management, and remediation services</t>
  </si>
  <si>
    <t>Educational services (private &amp; public)</t>
  </si>
  <si>
    <t>Health care and social assistance (private &amp; public)</t>
  </si>
  <si>
    <t>Arts, entertainment, and recreation</t>
  </si>
  <si>
    <t>Accommodation</t>
  </si>
  <si>
    <t>Food Service</t>
  </si>
  <si>
    <t>Other services (except public administration)</t>
  </si>
  <si>
    <t>State and Local Government</t>
  </si>
  <si>
    <t>Federal Civilian</t>
  </si>
  <si>
    <t>Federal Military</t>
  </si>
  <si>
    <t>ALL JOBS IN SAN DIEGO REGION</t>
  </si>
  <si>
    <t>2. ALL JOBS IN SD FILLED BY SD RESIDENTS</t>
  </si>
  <si>
    <r>
      <t xml:space="preserve">3. </t>
    </r>
    <r>
      <rPr>
        <b/>
        <u/>
        <sz val="14"/>
        <color theme="1"/>
        <rFont val="Calibri"/>
        <family val="2"/>
        <scheme val="minor"/>
      </rPr>
      <t>Commuter</t>
    </r>
    <r>
      <rPr>
        <b/>
        <sz val="12"/>
        <color theme="1"/>
        <rFont val="Calibri"/>
        <family val="2"/>
        <scheme val="minor"/>
      </rPr>
      <t xml:space="preserve"> filled SD Jobs (W&amp;S)</t>
    </r>
  </si>
  <si>
    <t>total commuter filled jobs</t>
  </si>
  <si>
    <t>commuter share of all jobs</t>
  </si>
  <si>
    <r>
      <t xml:space="preserve">2a. ALL </t>
    </r>
    <r>
      <rPr>
        <b/>
        <u/>
        <sz val="14"/>
        <color theme="1"/>
        <rFont val="Calibri"/>
        <family val="2"/>
        <scheme val="minor"/>
      </rPr>
      <t>W&amp;S JOBS</t>
    </r>
    <r>
      <rPr>
        <b/>
        <sz val="12"/>
        <color theme="1"/>
        <rFont val="Calibri"/>
        <family val="2"/>
        <scheme val="minor"/>
      </rPr>
      <t xml:space="preserve"> in SD </t>
    </r>
    <r>
      <rPr>
        <b/>
        <u/>
        <sz val="12"/>
        <color theme="1"/>
        <rFont val="Calibri"/>
        <family val="2"/>
        <scheme val="minor"/>
      </rPr>
      <t>FILLED BY SD RESIDENTS</t>
    </r>
  </si>
  <si>
    <t xml:space="preserve">SUBTOTAL </t>
  </si>
  <si>
    <t>ALL W&amp;S JOBS in SD FILLED BY SD RESIDENTS</t>
  </si>
  <si>
    <r>
      <t xml:space="preserve">2b. ALL </t>
    </r>
    <r>
      <rPr>
        <b/>
        <u/>
        <sz val="14"/>
        <color theme="1"/>
        <rFont val="Calibri"/>
        <family val="2"/>
        <scheme val="minor"/>
      </rPr>
      <t>NON-W&amp;S</t>
    </r>
    <r>
      <rPr>
        <b/>
        <sz val="12"/>
        <color theme="1"/>
        <rFont val="Calibri"/>
        <family val="2"/>
        <scheme val="minor"/>
      </rPr>
      <t xml:space="preserve"> JOBS in SD FILLED BY SD RESIDENTS</t>
    </r>
  </si>
  <si>
    <t xml:space="preserve">Siting </t>
  </si>
  <si>
    <t xml:space="preserve">Aggregation </t>
  </si>
  <si>
    <t>EDD</t>
  </si>
  <si>
    <t>not WFH</t>
  </si>
  <si>
    <t>everywhere</t>
  </si>
  <si>
    <t>Home</t>
  </si>
  <si>
    <t>WFH</t>
  </si>
  <si>
    <t>Everywhere</t>
  </si>
  <si>
    <t>ALL non-W&amp;S JOBS in SD FILLED BY SD RESIDENTS</t>
  </si>
  <si>
    <t>Base year, 2022, and forecast years: 2026, 2029, 2032, 2035, 2040, 2050, 2060</t>
  </si>
  <si>
    <t>Industry (values in 1000s)</t>
  </si>
  <si>
    <t>Educational services; private</t>
  </si>
  <si>
    <t>Health care and social assistance</t>
  </si>
  <si>
    <t xml:space="preserve">Industry Total </t>
  </si>
  <si>
    <t>Government Jobs</t>
  </si>
  <si>
    <t>Farm Proprietor</t>
  </si>
  <si>
    <t xml:space="preserve">Total Labor Force Includes Military (REMI) </t>
  </si>
  <si>
    <r>
      <t xml:space="preserve">Labor Force Components- </t>
    </r>
    <r>
      <rPr>
        <b/>
        <sz val="12"/>
        <color rgb="FFFF0000"/>
        <rFont val="Calibri"/>
        <family val="2"/>
      </rPr>
      <t>Civilian ONLY</t>
    </r>
  </si>
  <si>
    <t>Region</t>
  </si>
  <si>
    <t>Gender</t>
  </si>
  <si>
    <t>Age</t>
  </si>
  <si>
    <t>Comparison Type</t>
  </si>
  <si>
    <t>Forecast</t>
  </si>
  <si>
    <t>San Diego County</t>
  </si>
  <si>
    <t>Total</t>
  </si>
  <si>
    <t>Total (16-100)</t>
  </si>
  <si>
    <t>Levels</t>
  </si>
  <si>
    <t>July SANDAG and DOF Pop Update</t>
  </si>
  <si>
    <t>Year</t>
  </si>
  <si>
    <t>Category</t>
  </si>
  <si>
    <t>Race</t>
  </si>
  <si>
    <t>Units</t>
  </si>
  <si>
    <t>Labor Force</t>
  </si>
  <si>
    <t>All Races</t>
  </si>
  <si>
    <t>Thousands</t>
  </si>
  <si>
    <t>White-NonHispanic</t>
  </si>
  <si>
    <t>Black-NonHispanic</t>
  </si>
  <si>
    <t>Other-NonHispanic</t>
  </si>
  <si>
    <t>Hispanic</t>
  </si>
  <si>
    <t>Notes: 2022 was added to this table, otherwise, this duplicates corrected table provided in the 8/15/2023 version of regional controls for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</si>
</sst>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
    <numFmt numFmtId="165" formatCode="0.0%"/>
    <numFmt numFmtId="166" formatCode="0.0000"/>
    <numFmt numFmtId="167" formatCode="#,##0.0"/>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2"/>
      <name val="Calibri"/>
      <family val="2"/>
    </font>
    <font>
      <b/>
      <sz val="8"/>
      <name val="Calibri"/>
      <family val="2"/>
    </font>
    <font>
      <sz val="8"/>
      <name val="Calibri"/>
      <family val="2"/>
    </font>
    <font>
      <b/>
      <sz val="11"/>
      <name val="Calibri"/>
      <family val="2"/>
    </font>
    <font>
      <i/>
      <sz val="11"/>
      <name val="Calibri"/>
      <family val="2"/>
    </font>
    <font>
      <sz val="11"/>
      <name val="Calibri"/>
      <family val="2"/>
    </font>
    <font>
      <i/>
      <sz val="11"/>
      <color theme="1"/>
      <name val="Calibri"/>
      <family val="2"/>
      <scheme val="minor"/>
    </font>
    <font>
      <b/>
      <i/>
      <sz val="11"/>
      <color theme="1"/>
      <name val="Calibri"/>
      <family val="2"/>
      <scheme val="minor"/>
    </font>
    <font>
      <b/>
      <sz val="14"/>
      <color theme="1"/>
      <name val="Calibri"/>
      <family val="2"/>
      <scheme val="minor"/>
    </font>
    <font>
      <b/>
      <sz val="16"/>
      <color theme="1"/>
      <name val="Calibri"/>
      <family val="2"/>
      <scheme val="minor"/>
    </font>
    <font>
      <sz val="11"/>
      <color theme="5"/>
      <name val="Calibri"/>
      <family val="2"/>
      <scheme val="minor"/>
    </font>
    <font>
      <sz val="11"/>
      <color theme="9" tint="-0.249977111117893"/>
      <name val="Calibri"/>
      <family val="2"/>
      <scheme val="minor"/>
    </font>
    <font>
      <b/>
      <i/>
      <sz val="12"/>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sz val="14"/>
      <color theme="1"/>
      <name val="Calibri"/>
      <family val="2"/>
      <scheme val="minor"/>
    </font>
    <font>
      <b/>
      <sz val="11"/>
      <color rgb="FF000000"/>
      <name val="Calibri"/>
      <family val="2"/>
    </font>
    <font>
      <sz val="11"/>
      <color rgb="FF000000"/>
      <name val="Calibri"/>
      <family val="2"/>
    </font>
    <font>
      <sz val="10"/>
      <color theme="1"/>
      <name val="Times New Roman"/>
      <family val="1"/>
    </font>
    <font>
      <b/>
      <i/>
      <sz val="11"/>
      <color rgb="FFFF0000"/>
      <name val="Calibri"/>
      <family val="2"/>
      <scheme val="minor"/>
    </font>
    <font>
      <b/>
      <i/>
      <sz val="12"/>
      <color rgb="FFFF0000"/>
      <name val="Calibri"/>
      <family val="2"/>
      <scheme val="minor"/>
    </font>
    <font>
      <b/>
      <sz val="12"/>
      <color rgb="FFFF0000"/>
      <name val="Calibri"/>
      <family val="2"/>
    </font>
    <font>
      <i/>
      <sz val="9"/>
      <color rgb="FF000000"/>
      <name val="Calibri"/>
      <family val="2"/>
    </font>
    <font>
      <i/>
      <sz val="9"/>
      <color theme="1"/>
      <name val="Calibri"/>
      <family val="2"/>
      <scheme val="minor"/>
    </font>
    <font>
      <sz val="11"/>
      <color rgb="FF000000"/>
      <name val="Calibri"/>
      <family val="2"/>
      <scheme val="minor"/>
    </font>
    <font>
      <b/>
      <sz val="14"/>
      <color rgb="FF000000"/>
      <name val="Calibri"/>
      <family val="2"/>
      <scheme val="minor"/>
    </font>
    <font>
      <b/>
      <sz val="11"/>
      <color rgb="FF000000"/>
      <name val="Calibri"/>
      <family val="2"/>
      <scheme val="minor"/>
    </font>
    <font>
      <i/>
      <sz val="10"/>
      <color theme="1"/>
      <name val="Calibri"/>
      <family val="2"/>
      <scheme val="minor"/>
    </font>
    <font>
      <sz val="12"/>
      <name val="Calibri"/>
      <family val="2"/>
      <scheme val="minor"/>
    </font>
    <font>
      <b/>
      <i/>
      <sz val="16"/>
      <color rgb="FF000000"/>
      <name val="Calibri"/>
      <family val="2"/>
      <scheme val="minor"/>
    </font>
    <font>
      <b/>
      <i/>
      <sz val="16"/>
      <color theme="1"/>
      <name val="Calibri"/>
      <family val="2"/>
      <scheme val="minor"/>
    </font>
  </fonts>
  <fills count="6">
    <fill>
      <patternFill patternType="none"/>
    </fill>
    <fill>
      <patternFill patternType="gray125"/>
    </fill>
    <fill>
      <patternFill patternType="solid">
        <fgColor rgb="FFE0E0E0"/>
        <bgColor rgb="FFE0E0E0"/>
      </patternFill>
    </fill>
    <fill>
      <patternFill patternType="solid">
        <fgColor rgb="FFF0F0F0"/>
        <bgColor rgb="FFF0F0F0"/>
      </patternFill>
    </fill>
    <fill>
      <patternFill patternType="solid">
        <fgColor rgb="FFFFFF00"/>
        <bgColor indexed="64"/>
      </patternFill>
    </fill>
    <fill>
      <patternFill patternType="solid">
        <fgColor theme="0" tint="-4.9989318521683403E-2"/>
        <bgColor indexed="64"/>
      </patternFill>
    </fill>
  </fills>
  <borders count="14">
    <border>
      <left/>
      <right/>
      <top/>
      <bottom/>
      <diagonal/>
    </border>
    <border>
      <left/>
      <right/>
      <top style="thick">
        <color auto="1"/>
      </top>
      <bottom/>
      <diagonal/>
    </border>
    <border>
      <left/>
      <right style="thin">
        <color auto="1"/>
      </right>
      <top style="thick">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ck">
        <color auto="1"/>
      </bottom>
      <diagonal/>
    </border>
    <border>
      <left/>
      <right/>
      <top style="medium">
        <color indexed="64"/>
      </top>
      <bottom/>
      <diagonal/>
    </border>
    <border>
      <left/>
      <right/>
      <top/>
      <bottom style="medium">
        <color indexed="64"/>
      </bottom>
      <diagonal/>
    </border>
    <border>
      <left style="thin">
        <color auto="1"/>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92">
    <xf numFmtId="0" fontId="0" fillId="0" borderId="0" xfId="0"/>
    <xf numFmtId="0" fontId="4" fillId="2" borderId="1" xfId="0" applyFont="1" applyFill="1" applyBorder="1" applyAlignment="1">
      <alignment horizontal="center"/>
    </xf>
    <xf numFmtId="0" fontId="4" fillId="2" borderId="2" xfId="0" applyFont="1" applyFill="1" applyBorder="1" applyAlignment="1">
      <alignment horizontal="center"/>
    </xf>
    <xf numFmtId="0" fontId="5" fillId="0" borderId="4" xfId="0" applyFont="1" applyBorder="1"/>
    <xf numFmtId="9" fontId="0" fillId="0" borderId="0" xfId="1" applyFont="1"/>
    <xf numFmtId="165" fontId="0" fillId="0" borderId="0" xfId="1" applyNumberFormat="1" applyFont="1"/>
    <xf numFmtId="0" fontId="2" fillId="0" borderId="0" xfId="0" applyFont="1"/>
    <xf numFmtId="0" fontId="0" fillId="0" borderId="0" xfId="0" applyAlignment="1">
      <alignment wrapText="1"/>
    </xf>
    <xf numFmtId="0" fontId="6" fillId="0" borderId="0" xfId="0" applyFont="1"/>
    <xf numFmtId="0" fontId="0" fillId="0" borderId="0" xfId="0" applyAlignment="1">
      <alignment horizontal="center"/>
    </xf>
    <xf numFmtId="0" fontId="9" fillId="0" borderId="0" xfId="0" applyFont="1"/>
    <xf numFmtId="0" fontId="11" fillId="0" borderId="0" xfId="0" applyFont="1"/>
    <xf numFmtId="0" fontId="9" fillId="0" borderId="0" xfId="0" applyFont="1" applyAlignment="1">
      <alignment horizontal="right"/>
    </xf>
    <xf numFmtId="0" fontId="0" fillId="0" borderId="0" xfId="0" applyAlignment="1">
      <alignment horizontal="right"/>
    </xf>
    <xf numFmtId="43" fontId="0" fillId="0" borderId="0" xfId="0" applyNumberFormat="1"/>
    <xf numFmtId="0" fontId="10" fillId="0" borderId="0" xfId="0" applyFont="1"/>
    <xf numFmtId="0" fontId="0" fillId="0" borderId="0" xfId="0" applyAlignment="1">
      <alignment horizontal="right" wrapText="1"/>
    </xf>
    <xf numFmtId="2" fontId="0" fillId="0" borderId="0" xfId="0" applyNumberFormat="1"/>
    <xf numFmtId="2" fontId="10" fillId="0" borderId="0" xfId="1" applyNumberFormat="1" applyFont="1" applyFill="1"/>
    <xf numFmtId="4" fontId="0" fillId="0" borderId="0" xfId="0" applyNumberFormat="1"/>
    <xf numFmtId="4" fontId="9" fillId="0" borderId="0" xfId="0" applyNumberFormat="1" applyFont="1"/>
    <xf numFmtId="3" fontId="0" fillId="0" borderId="0" xfId="0" applyNumberFormat="1"/>
    <xf numFmtId="0" fontId="2" fillId="0" borderId="0" xfId="0" applyFont="1" applyAlignment="1">
      <alignment horizontal="center"/>
    </xf>
    <xf numFmtId="166" fontId="0" fillId="0" borderId="0" xfId="0" applyNumberFormat="1"/>
    <xf numFmtId="0" fontId="0" fillId="0" borderId="10" xfId="0" applyBorder="1"/>
    <xf numFmtId="0" fontId="0" fillId="0" borderId="10" xfId="0" applyBorder="1" applyAlignment="1">
      <alignment horizontal="right" wrapText="1"/>
    </xf>
    <xf numFmtId="0" fontId="15" fillId="0" borderId="0" xfId="0" applyFont="1"/>
    <xf numFmtId="0" fontId="2" fillId="5" borderId="0" xfId="0" applyFont="1" applyFill="1" applyAlignment="1">
      <alignment horizontal="center" wrapText="1"/>
    </xf>
    <xf numFmtId="0" fontId="8" fillId="0" borderId="0" xfId="0" applyFont="1"/>
    <xf numFmtId="3" fontId="0" fillId="0" borderId="0" xfId="2" applyNumberFormat="1" applyFont="1" applyAlignment="1">
      <alignment horizontal="right"/>
    </xf>
    <xf numFmtId="3" fontId="0" fillId="0" borderId="0" xfId="0" applyNumberFormat="1" applyAlignment="1">
      <alignment horizontal="right"/>
    </xf>
    <xf numFmtId="3" fontId="2" fillId="0" borderId="0" xfId="0" applyNumberFormat="1" applyFont="1"/>
    <xf numFmtId="165" fontId="0" fillId="0" borderId="0" xfId="1" applyNumberFormat="1" applyFont="1" applyAlignment="1">
      <alignment horizontal="center"/>
    </xf>
    <xf numFmtId="0" fontId="4" fillId="2" borderId="6" xfId="0" applyFont="1" applyFill="1" applyBorder="1"/>
    <xf numFmtId="164" fontId="5" fillId="0" borderId="3" xfId="0" applyNumberFormat="1" applyFont="1" applyBorder="1"/>
    <xf numFmtId="164" fontId="5" fillId="0" borderId="4" xfId="0" applyNumberFormat="1" applyFont="1" applyBorder="1"/>
    <xf numFmtId="0" fontId="4" fillId="2" borderId="7" xfId="0" applyFont="1" applyFill="1" applyBorder="1"/>
    <xf numFmtId="164" fontId="5" fillId="0" borderId="8" xfId="0" applyNumberFormat="1" applyFont="1" applyBorder="1"/>
    <xf numFmtId="164" fontId="5" fillId="0" borderId="9" xfId="0" applyNumberFormat="1" applyFont="1" applyBorder="1"/>
    <xf numFmtId="0" fontId="16" fillId="0" borderId="0" xfId="0" applyFont="1"/>
    <xf numFmtId="0" fontId="7" fillId="0" borderId="0" xfId="0" applyFont="1" applyAlignment="1">
      <alignment horizontal="right"/>
    </xf>
    <xf numFmtId="167" fontId="0" fillId="0" borderId="0" xfId="2" applyNumberFormat="1" applyFont="1" applyAlignment="1">
      <alignment horizontal="right"/>
    </xf>
    <xf numFmtId="167" fontId="0" fillId="0" borderId="0" xfId="0" applyNumberFormat="1" applyAlignment="1">
      <alignment horizontal="right"/>
    </xf>
    <xf numFmtId="167" fontId="0" fillId="0" borderId="0" xfId="0" applyNumberFormat="1"/>
    <xf numFmtId="165" fontId="0" fillId="0" borderId="0" xfId="1" applyNumberFormat="1" applyFont="1" applyFill="1" applyAlignment="1">
      <alignment horizontal="center"/>
    </xf>
    <xf numFmtId="0" fontId="16" fillId="0" borderId="0" xfId="0" applyFont="1" applyAlignment="1">
      <alignment horizontal="center"/>
    </xf>
    <xf numFmtId="4" fontId="16" fillId="0" borderId="0" xfId="0" applyNumberFormat="1" applyFont="1"/>
    <xf numFmtId="0" fontId="19" fillId="0" borderId="0" xfId="0" applyFont="1"/>
    <xf numFmtId="0" fontId="20" fillId="0" borderId="11" xfId="0" applyFont="1" applyBorder="1" applyAlignment="1">
      <alignment vertical="center"/>
    </xf>
    <xf numFmtId="0" fontId="21" fillId="0" borderId="11" xfId="0" applyFont="1" applyBorder="1" applyAlignment="1">
      <alignment vertical="center"/>
    </xf>
    <xf numFmtId="0" fontId="21" fillId="0" borderId="0" xfId="0" applyFont="1" applyAlignment="1">
      <alignment vertical="center"/>
    </xf>
    <xf numFmtId="0" fontId="21" fillId="0" borderId="12" xfId="0" applyFont="1" applyBorder="1" applyAlignment="1">
      <alignment vertical="center"/>
    </xf>
    <xf numFmtId="0" fontId="22" fillId="0" borderId="0" xfId="0" applyFont="1" applyAlignment="1">
      <alignment vertical="center" wrapText="1"/>
    </xf>
    <xf numFmtId="0" fontId="0" fillId="0" borderId="0" xfId="0" applyAlignment="1">
      <alignment vertical="center"/>
    </xf>
    <xf numFmtId="4" fontId="9" fillId="0" borderId="0" xfId="0" applyNumberFormat="1" applyFont="1" applyAlignment="1">
      <alignment horizontal="right"/>
    </xf>
    <xf numFmtId="0" fontId="23" fillId="0" borderId="0" xfId="0" applyFont="1"/>
    <xf numFmtId="0" fontId="14" fillId="0" borderId="0" xfId="0" applyFont="1" applyAlignment="1">
      <alignment horizontal="center"/>
    </xf>
    <xf numFmtId="0" fontId="13" fillId="0" borderId="0" xfId="0" applyFont="1" applyAlignment="1">
      <alignment horizontal="center"/>
    </xf>
    <xf numFmtId="0" fontId="7" fillId="0" borderId="0" xfId="0" applyFont="1" applyAlignment="1">
      <alignment horizontal="left"/>
    </xf>
    <xf numFmtId="0" fontId="2" fillId="0" borderId="0" xfId="0" applyFont="1" applyAlignment="1">
      <alignment vertical="top" wrapText="1"/>
    </xf>
    <xf numFmtId="0" fontId="20" fillId="0" borderId="0" xfId="0" applyFont="1" applyAlignment="1">
      <alignment vertical="center"/>
    </xf>
    <xf numFmtId="0" fontId="20" fillId="0" borderId="12" xfId="0" applyFont="1" applyBorder="1" applyAlignment="1">
      <alignment vertical="center"/>
    </xf>
    <xf numFmtId="0" fontId="20" fillId="0" borderId="11" xfId="0" applyFont="1" applyBorder="1" applyAlignment="1">
      <alignment vertical="center" wrapText="1"/>
    </xf>
    <xf numFmtId="0" fontId="21" fillId="0" borderId="11" xfId="0" applyFont="1" applyBorder="1" applyAlignment="1">
      <alignment horizontal="center" vertical="center"/>
    </xf>
    <xf numFmtId="0" fontId="21" fillId="0" borderId="0" xfId="0" applyFont="1" applyAlignment="1">
      <alignment horizontal="center" vertical="center"/>
    </xf>
    <xf numFmtId="0" fontId="21" fillId="0" borderId="12" xfId="0" applyFont="1" applyBorder="1" applyAlignment="1">
      <alignment horizontal="center" vertical="center"/>
    </xf>
    <xf numFmtId="0" fontId="27" fillId="0" borderId="0" xfId="0" applyFont="1"/>
    <xf numFmtId="4" fontId="27" fillId="0" borderId="0" xfId="0" applyNumberFormat="1" applyFont="1"/>
    <xf numFmtId="0" fontId="26" fillId="0" borderId="0" xfId="0" applyFont="1" applyAlignment="1">
      <alignment horizontal="right" vertical="center"/>
    </xf>
    <xf numFmtId="0" fontId="28" fillId="0" borderId="0" xfId="0" applyFont="1"/>
    <xf numFmtId="0" fontId="29" fillId="0" borderId="0" xfId="0" applyFont="1"/>
    <xf numFmtId="0" fontId="30" fillId="0" borderId="0" xfId="0" applyFont="1"/>
    <xf numFmtId="0" fontId="3" fillId="0" borderId="0" xfId="0" applyFont="1"/>
    <xf numFmtId="0" fontId="5" fillId="4" borderId="3" xfId="0" applyFont="1" applyFill="1" applyBorder="1"/>
    <xf numFmtId="0" fontId="0" fillId="0" borderId="0" xfId="0" applyAlignment="1">
      <alignment horizontal="left" indent="2"/>
    </xf>
    <xf numFmtId="0" fontId="23" fillId="0" borderId="0" xfId="0" applyFont="1" applyAlignment="1">
      <alignment horizontal="left" vertical="top" indent="4"/>
    </xf>
    <xf numFmtId="0" fontId="0" fillId="0" borderId="0" xfId="0" applyAlignment="1">
      <alignment horizontal="left" indent="4"/>
    </xf>
    <xf numFmtId="0" fontId="24" fillId="0" borderId="0" xfId="0" applyFont="1" applyAlignment="1">
      <alignment horizontal="left" vertical="top"/>
    </xf>
    <xf numFmtId="0" fontId="12" fillId="0" borderId="0" xfId="0" applyFont="1"/>
    <xf numFmtId="0" fontId="33" fillId="0" borderId="0" xfId="0" applyFont="1"/>
    <xf numFmtId="0" fontId="34" fillId="0" borderId="0" xfId="0" applyFont="1" applyAlignment="1">
      <alignment vertical="center"/>
    </xf>
    <xf numFmtId="0" fontId="32"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2" fillId="5" borderId="0" xfId="0" applyFont="1" applyFill="1" applyAlignment="1">
      <alignment horizontal="left"/>
    </xf>
    <xf numFmtId="0" fontId="0" fillId="0" borderId="0" xfId="0" applyAlignment="1">
      <alignment horizontal="left" vertical="top" wrapText="1" indent="4"/>
    </xf>
    <xf numFmtId="0" fontId="0" fillId="0" borderId="0" xfId="0" applyAlignment="1">
      <alignment horizontal="left" vertical="top" wrapText="1" indent="3"/>
    </xf>
    <xf numFmtId="0" fontId="0" fillId="0" borderId="0" xfId="0" applyAlignment="1">
      <alignment horizontal="center"/>
    </xf>
    <xf numFmtId="0" fontId="4" fillId="3" borderId="13" xfId="0" applyFont="1" applyFill="1" applyBorder="1" applyAlignment="1">
      <alignment horizontal="center"/>
    </xf>
    <xf numFmtId="0" fontId="4" fillId="3" borderId="5" xfId="0" applyFont="1" applyFill="1" applyBorder="1" applyAlignment="1">
      <alignment horizontal="center"/>
    </xf>
    <xf numFmtId="0" fontId="31" fillId="0" borderId="0" xfId="0" applyFont="1" applyAlignment="1">
      <alignment horizontal="left" wrapText="1"/>
    </xf>
    <xf numFmtId="0" fontId="4" fillId="3" borderId="0" xfId="0" applyFont="1" applyFill="1" applyAlignment="1">
      <alignment horizontal="center"/>
    </xf>
  </cellXfs>
  <cellStyles count="3">
    <cellStyle name="Comma" xfId="2" builtinId="3"/>
    <cellStyle name="Normal" xfId="0" builtinId="0"/>
    <cellStyle name="Percent" xfId="1" builtinId="5"/>
  </cellStyles>
  <dxfs count="0"/>
  <tableStyles count="1" defaultTableStyle="TableStyleMedium2" defaultPivotStyle="PivotStyleLight16">
    <tableStyle name="Invisible" pivot="0" table="0" count="0" xr9:uid="{BA92D455-BE9A-4A60-BE82-1274148315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98CE-DD9A-4D78-9426-B175A177FCAA}">
  <dimension ref="A1:Z40"/>
  <sheetViews>
    <sheetView topLeftCell="A15" workbookViewId="0">
      <selection activeCell="M6" sqref="M6"/>
    </sheetView>
  </sheetViews>
  <sheetFormatPr defaultRowHeight="14.5" x14ac:dyDescent="0.35"/>
  <cols>
    <col min="2" max="2" width="31.81640625" customWidth="1"/>
    <col min="10" max="10" width="18.54296875" customWidth="1"/>
  </cols>
  <sheetData>
    <row r="1" spans="1:26" ht="34.5" customHeight="1" x14ac:dyDescent="0.35">
      <c r="A1" s="80" t="s">
        <v>0</v>
      </c>
    </row>
    <row r="2" spans="1:26" ht="21" x14ac:dyDescent="0.5">
      <c r="A2" s="11" t="s">
        <v>1</v>
      </c>
      <c r="I2" s="78"/>
      <c r="J2" s="78"/>
      <c r="K2" s="78"/>
      <c r="L2" s="78"/>
      <c r="M2" s="78"/>
      <c r="N2" s="78"/>
      <c r="O2" s="78"/>
      <c r="P2" s="79"/>
      <c r="Q2" s="69"/>
      <c r="R2" s="69"/>
      <c r="S2" s="69"/>
      <c r="T2" s="69"/>
      <c r="U2" s="69"/>
      <c r="V2" s="69"/>
      <c r="W2" s="69"/>
      <c r="X2" s="69"/>
      <c r="Y2" s="69"/>
      <c r="Z2" s="69"/>
    </row>
    <row r="3" spans="1:26" ht="18.5" x14ac:dyDescent="0.45">
      <c r="A3" s="26" t="s">
        <v>2</v>
      </c>
      <c r="P3" s="70"/>
      <c r="Q3" s="69"/>
      <c r="R3" s="69"/>
      <c r="S3" s="69"/>
      <c r="T3" s="69"/>
      <c r="U3" s="69"/>
      <c r="V3" s="69"/>
      <c r="W3" s="69"/>
      <c r="X3" s="69"/>
      <c r="Y3" s="69"/>
      <c r="Z3" s="69"/>
    </row>
    <row r="5" spans="1:26" ht="15.5" x14ac:dyDescent="0.35">
      <c r="A5" s="26"/>
      <c r="B5" s="77" t="s">
        <v>3</v>
      </c>
    </row>
    <row r="6" spans="1:26" ht="69.75" customHeight="1" x14ac:dyDescent="0.35">
      <c r="B6" s="81" t="s">
        <v>4</v>
      </c>
      <c r="C6" s="81"/>
      <c r="D6" s="81"/>
      <c r="E6" s="81"/>
      <c r="F6" s="81"/>
      <c r="G6" s="81"/>
      <c r="H6" s="81"/>
      <c r="I6" s="81"/>
      <c r="J6" s="81"/>
      <c r="K6" s="81"/>
    </row>
    <row r="8" spans="1:26" x14ac:dyDescent="0.35">
      <c r="B8" s="59" t="s">
        <v>5</v>
      </c>
      <c r="C8" s="82" t="s">
        <v>6</v>
      </c>
      <c r="D8" s="82"/>
      <c r="E8" s="82"/>
      <c r="F8" s="82"/>
      <c r="G8" s="82"/>
      <c r="H8" s="82"/>
      <c r="I8" s="82"/>
      <c r="J8" s="82"/>
      <c r="K8" s="82"/>
    </row>
    <row r="9" spans="1:26" ht="67.5" customHeight="1" x14ac:dyDescent="0.35">
      <c r="B9" s="59"/>
      <c r="C9" s="83" t="s">
        <v>7</v>
      </c>
      <c r="D9" s="83"/>
      <c r="E9" s="83"/>
      <c r="F9" s="83"/>
      <c r="G9" s="83"/>
      <c r="H9" s="83"/>
      <c r="I9" s="83"/>
      <c r="J9" s="83"/>
      <c r="K9" s="83"/>
    </row>
    <row r="10" spans="1:26" x14ac:dyDescent="0.35">
      <c r="B10" s="59"/>
      <c r="C10" s="83" t="s">
        <v>8</v>
      </c>
      <c r="D10" s="83"/>
      <c r="E10" s="83"/>
      <c r="F10" s="83"/>
      <c r="G10" s="83"/>
      <c r="H10" s="83"/>
      <c r="I10" s="83"/>
      <c r="J10" s="83"/>
      <c r="K10" s="83"/>
    </row>
    <row r="11" spans="1:26" ht="51" customHeight="1" x14ac:dyDescent="0.35">
      <c r="B11" s="59"/>
      <c r="C11" s="86" t="s">
        <v>9</v>
      </c>
      <c r="D11" s="86"/>
      <c r="E11" s="86"/>
      <c r="F11" s="86"/>
      <c r="G11" s="86"/>
      <c r="H11" s="86"/>
      <c r="I11" s="86"/>
      <c r="J11" s="86"/>
      <c r="K11" s="86"/>
    </row>
    <row r="12" spans="1:26" ht="51" customHeight="1" x14ac:dyDescent="0.35">
      <c r="B12" s="59"/>
      <c r="C12" s="86" t="s">
        <v>10</v>
      </c>
      <c r="D12" s="86"/>
      <c r="E12" s="86"/>
      <c r="F12" s="86"/>
      <c r="G12" s="86"/>
      <c r="H12" s="86"/>
      <c r="I12" s="86"/>
      <c r="J12" s="86"/>
      <c r="K12" s="86"/>
    </row>
    <row r="13" spans="1:26" x14ac:dyDescent="0.35">
      <c r="B13" s="59" t="s">
        <v>11</v>
      </c>
      <c r="C13" s="82" t="s">
        <v>12</v>
      </c>
      <c r="D13" s="82"/>
      <c r="E13" s="82"/>
      <c r="F13" s="82"/>
      <c r="G13" s="82"/>
      <c r="H13" s="82"/>
      <c r="I13" s="82"/>
      <c r="J13" s="82"/>
      <c r="K13" s="82"/>
    </row>
    <row r="14" spans="1:26" ht="50.25" customHeight="1" x14ac:dyDescent="0.35">
      <c r="B14" s="59"/>
      <c r="C14" s="83" t="s">
        <v>13</v>
      </c>
      <c r="D14" s="82"/>
      <c r="E14" s="82"/>
      <c r="F14" s="82"/>
      <c r="G14" s="82"/>
      <c r="H14" s="82"/>
      <c r="I14" s="82"/>
      <c r="J14" s="82"/>
      <c r="K14" s="82"/>
    </row>
    <row r="15" spans="1:26" x14ac:dyDescent="0.35">
      <c r="B15" s="71" t="s">
        <v>14</v>
      </c>
      <c r="C15" s="82" t="s">
        <v>15</v>
      </c>
      <c r="D15" s="82"/>
      <c r="E15" s="82"/>
      <c r="F15" s="82"/>
      <c r="G15" s="82"/>
      <c r="H15" s="82"/>
      <c r="I15" s="82"/>
      <c r="J15" s="82"/>
      <c r="K15" s="82"/>
    </row>
    <row r="22" spans="2:26" x14ac:dyDescent="0.35">
      <c r="B22" s="84" t="s">
        <v>16</v>
      </c>
      <c r="C22" s="84"/>
      <c r="D22" s="84"/>
      <c r="E22" s="84"/>
      <c r="F22" s="84"/>
      <c r="G22" s="84"/>
      <c r="H22" s="84"/>
      <c r="I22" s="84"/>
      <c r="J22" s="84"/>
      <c r="K22" s="84"/>
      <c r="L22" s="84"/>
      <c r="M22" s="84"/>
      <c r="N22" s="84"/>
      <c r="O22" s="84"/>
    </row>
    <row r="23" spans="2:26" x14ac:dyDescent="0.35">
      <c r="B23" t="s">
        <v>17</v>
      </c>
    </row>
    <row r="24" spans="2:26" x14ac:dyDescent="0.35">
      <c r="B24" t="s">
        <v>18</v>
      </c>
    </row>
    <row r="25" spans="2:26" x14ac:dyDescent="0.35">
      <c r="B25" t="s">
        <v>19</v>
      </c>
    </row>
    <row r="26" spans="2:26" x14ac:dyDescent="0.35">
      <c r="B26" t="s">
        <v>20</v>
      </c>
    </row>
    <row r="27" spans="2:26" x14ac:dyDescent="0.35">
      <c r="B27" s="74" t="s">
        <v>21</v>
      </c>
      <c r="P27" s="69"/>
      <c r="R27" s="69"/>
      <c r="S27" s="69"/>
      <c r="T27" s="69"/>
      <c r="U27" s="69"/>
      <c r="V27" s="69"/>
      <c r="W27" s="69"/>
      <c r="X27" s="69"/>
      <c r="Y27" s="69"/>
      <c r="Z27" s="69"/>
    </row>
    <row r="28" spans="2:26" x14ac:dyDescent="0.35">
      <c r="B28" s="74" t="s">
        <v>22</v>
      </c>
      <c r="C28" t="s">
        <v>23</v>
      </c>
      <c r="P28" s="69"/>
      <c r="R28" s="69"/>
      <c r="S28" s="69"/>
      <c r="T28" s="69"/>
      <c r="U28" s="69"/>
      <c r="V28" s="69"/>
      <c r="W28" s="69"/>
      <c r="X28" s="69"/>
      <c r="Y28" s="69"/>
      <c r="Z28" s="69"/>
    </row>
    <row r="29" spans="2:26" x14ac:dyDescent="0.35">
      <c r="C29" t="s">
        <v>24</v>
      </c>
      <c r="P29" s="69"/>
      <c r="Q29" s="69"/>
      <c r="R29" s="69"/>
      <c r="S29" s="69"/>
      <c r="T29" s="69"/>
      <c r="U29" s="69"/>
      <c r="V29" s="69"/>
      <c r="W29" s="69"/>
      <c r="X29" s="69"/>
      <c r="Y29" s="69"/>
      <c r="Z29" s="69"/>
    </row>
    <row r="30" spans="2:26" x14ac:dyDescent="0.35">
      <c r="C30" t="s">
        <v>25</v>
      </c>
    </row>
    <row r="31" spans="2:26" x14ac:dyDescent="0.35">
      <c r="B31" s="69" t="s">
        <v>26</v>
      </c>
    </row>
    <row r="32" spans="2:26" x14ac:dyDescent="0.35">
      <c r="B32" s="69" t="s">
        <v>27</v>
      </c>
    </row>
    <row r="33" spans="2:10" x14ac:dyDescent="0.35">
      <c r="B33" s="69" t="s">
        <v>28</v>
      </c>
    </row>
    <row r="34" spans="2:10" x14ac:dyDescent="0.35">
      <c r="B34" s="69" t="s">
        <v>29</v>
      </c>
    </row>
    <row r="35" spans="2:10" x14ac:dyDescent="0.35">
      <c r="B35" s="69" t="s">
        <v>30</v>
      </c>
    </row>
    <row r="36" spans="2:10" x14ac:dyDescent="0.35">
      <c r="B36" s="75" t="s">
        <v>3</v>
      </c>
      <c r="C36" s="76"/>
      <c r="D36" s="76"/>
      <c r="E36" s="76"/>
      <c r="F36" s="76"/>
      <c r="G36" s="76"/>
      <c r="H36" s="76"/>
      <c r="I36" s="76"/>
      <c r="J36" s="76"/>
    </row>
    <row r="37" spans="2:10" x14ac:dyDescent="0.35">
      <c r="B37" s="85" t="s">
        <v>31</v>
      </c>
      <c r="C37" s="85"/>
      <c r="D37" s="85"/>
      <c r="E37" s="85"/>
      <c r="F37" s="85"/>
      <c r="G37" s="85"/>
      <c r="H37" s="85"/>
      <c r="I37" s="85"/>
      <c r="J37" s="85"/>
    </row>
    <row r="38" spans="2:10" ht="33.75" customHeight="1" x14ac:dyDescent="0.35">
      <c r="B38" s="85" t="s">
        <v>32</v>
      </c>
      <c r="C38" s="85"/>
      <c r="D38" s="85"/>
      <c r="E38" s="85"/>
      <c r="F38" s="85"/>
      <c r="G38" s="85"/>
      <c r="H38" s="85"/>
      <c r="I38" s="85"/>
      <c r="J38" s="85"/>
    </row>
    <row r="39" spans="2:10" x14ac:dyDescent="0.35">
      <c r="B39" t="s">
        <v>33</v>
      </c>
    </row>
    <row r="40" spans="2:10" x14ac:dyDescent="0.35">
      <c r="B40" s="76" t="s">
        <v>34</v>
      </c>
    </row>
  </sheetData>
  <mergeCells count="12">
    <mergeCell ref="B22:O22"/>
    <mergeCell ref="C15:K15"/>
    <mergeCell ref="B37:J37"/>
    <mergeCell ref="B38:J38"/>
    <mergeCell ref="C11:K11"/>
    <mergeCell ref="C12:K12"/>
    <mergeCell ref="B6:K6"/>
    <mergeCell ref="C8:K8"/>
    <mergeCell ref="C13:K13"/>
    <mergeCell ref="C9:K9"/>
    <mergeCell ref="C14:K14"/>
    <mergeCell ref="C10:K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5C6F-6859-4210-9293-897255385332}">
  <dimension ref="A2:Z202"/>
  <sheetViews>
    <sheetView tabSelected="1" workbookViewId="0">
      <selection activeCell="O21" sqref="O21"/>
    </sheetView>
  </sheetViews>
  <sheetFormatPr defaultRowHeight="14.5" x14ac:dyDescent="0.35"/>
  <cols>
    <col min="1" max="1" width="52.54296875" customWidth="1"/>
    <col min="2" max="3" width="13.7265625" customWidth="1"/>
    <col min="4" max="4" width="19" customWidth="1"/>
    <col min="5" max="5" width="13.7265625" customWidth="1"/>
    <col min="6" max="6" width="18.453125" customWidth="1"/>
    <col min="7" max="9" width="13.7265625" customWidth="1"/>
    <col min="10" max="12" width="10.7265625" style="9" customWidth="1"/>
    <col min="13" max="13" width="11.7265625" bestFit="1" customWidth="1"/>
    <col min="14" max="14" width="11.7265625" customWidth="1"/>
    <col min="16" max="16" width="12.54296875" customWidth="1"/>
    <col min="17" max="17" width="11.7265625" bestFit="1" customWidth="1"/>
    <col min="18" max="18" width="11.7265625" customWidth="1"/>
    <col min="19" max="22" width="12" customWidth="1"/>
    <col min="24" max="24" width="11.81640625" customWidth="1"/>
  </cols>
  <sheetData>
    <row r="2" spans="1:25" ht="18.5" x14ac:dyDescent="0.45">
      <c r="A2" t="s">
        <v>35</v>
      </c>
      <c r="D2" s="11" t="s">
        <v>36</v>
      </c>
    </row>
    <row r="3" spans="1:25" ht="18.5" x14ac:dyDescent="0.45">
      <c r="A3" s="26" t="s">
        <v>37</v>
      </c>
      <c r="D3" s="47" t="s">
        <v>38</v>
      </c>
    </row>
    <row r="4" spans="1:25" ht="18.5" x14ac:dyDescent="0.45">
      <c r="D4" s="47" t="s">
        <v>39</v>
      </c>
      <c r="Y4" s="4"/>
    </row>
    <row r="5" spans="1:25" ht="18.5" x14ac:dyDescent="0.45">
      <c r="D5" s="47" t="s">
        <v>40</v>
      </c>
      <c r="Y5" s="4"/>
    </row>
    <row r="6" spans="1:25" ht="18.5" x14ac:dyDescent="0.45">
      <c r="D6" s="47" t="s">
        <v>41</v>
      </c>
      <c r="Y6" s="4"/>
    </row>
    <row r="7" spans="1:25" ht="18.5" x14ac:dyDescent="0.45">
      <c r="D7" s="47"/>
      <c r="Y7" s="4"/>
    </row>
    <row r="8" spans="1:25" x14ac:dyDescent="0.35">
      <c r="I8" s="9"/>
      <c r="L8"/>
      <c r="X8" s="4"/>
    </row>
    <row r="9" spans="1:25" ht="15" thickBot="1" x14ac:dyDescent="0.4">
      <c r="H9" s="9"/>
      <c r="I9" s="9"/>
      <c r="K9"/>
      <c r="L9"/>
    </row>
    <row r="10" spans="1:25" ht="15" thickBot="1" x14ac:dyDescent="0.4">
      <c r="A10" s="48" t="s">
        <v>42</v>
      </c>
      <c r="B10" s="48" t="s">
        <v>43</v>
      </c>
      <c r="C10" s="62" t="s">
        <v>44</v>
      </c>
      <c r="D10" s="48" t="s">
        <v>45</v>
      </c>
      <c r="E10" s="27">
        <v>2022</v>
      </c>
      <c r="F10" s="27">
        <v>2026</v>
      </c>
      <c r="G10" s="27">
        <v>2029</v>
      </c>
      <c r="H10" s="27">
        <v>2032</v>
      </c>
      <c r="I10" s="27">
        <v>2035</v>
      </c>
      <c r="J10" s="27">
        <v>2040</v>
      </c>
      <c r="K10" s="27">
        <v>2050</v>
      </c>
      <c r="L10" s="27">
        <v>2060</v>
      </c>
    </row>
    <row r="11" spans="1:25" x14ac:dyDescent="0.35">
      <c r="A11" s="49" t="s">
        <v>46</v>
      </c>
      <c r="B11" s="48">
        <v>1</v>
      </c>
      <c r="C11" s="49" t="s">
        <v>47</v>
      </c>
      <c r="D11" s="63">
        <v>92</v>
      </c>
      <c r="E11" s="19">
        <f>SUM(B158:B159)</f>
        <v>117.52651521636508</v>
      </c>
      <c r="F11" s="19">
        <f t="shared" ref="F11:L11" si="0">SUM(C158:C159)</f>
        <v>114.72376530458163</v>
      </c>
      <c r="G11" s="19">
        <f t="shared" si="0"/>
        <v>115.56287291204177</v>
      </c>
      <c r="H11" s="19">
        <f t="shared" si="0"/>
        <v>118.97757442309987</v>
      </c>
      <c r="I11" s="19">
        <f t="shared" si="0"/>
        <v>120.71215652756025</v>
      </c>
      <c r="J11" s="19">
        <f t="shared" si="0"/>
        <v>123.88363992761396</v>
      </c>
      <c r="K11" s="19">
        <f t="shared" si="0"/>
        <v>128.72921204796472</v>
      </c>
      <c r="L11" s="19">
        <f t="shared" si="0"/>
        <v>130.08080627026644</v>
      </c>
    </row>
    <row r="12" spans="1:25" x14ac:dyDescent="0.35">
      <c r="A12" s="50" t="s">
        <v>48</v>
      </c>
      <c r="B12" s="60">
        <v>2</v>
      </c>
      <c r="C12" s="50" t="s">
        <v>49</v>
      </c>
      <c r="D12" s="64" t="s">
        <v>50</v>
      </c>
      <c r="E12" s="19">
        <f t="shared" ref="E12:L12" si="1">B160</f>
        <v>110.000000017966</v>
      </c>
      <c r="F12" s="19">
        <f t="shared" si="1"/>
        <v>109.999999971433</v>
      </c>
      <c r="G12" s="19">
        <f t="shared" si="1"/>
        <v>109.99999962672101</v>
      </c>
      <c r="H12" s="19">
        <f t="shared" si="1"/>
        <v>109.99999968698</v>
      </c>
      <c r="I12" s="19">
        <f t="shared" si="1"/>
        <v>109.99999963547801</v>
      </c>
      <c r="J12" s="19">
        <f t="shared" si="1"/>
        <v>110.000000095693</v>
      </c>
      <c r="K12" s="19">
        <f t="shared" si="1"/>
        <v>109.99999957190001</v>
      </c>
      <c r="L12" s="19">
        <f t="shared" si="1"/>
        <v>109.999999709657</v>
      </c>
    </row>
    <row r="13" spans="1:25" x14ac:dyDescent="0.35">
      <c r="A13" s="50" t="s">
        <v>51</v>
      </c>
      <c r="B13" s="60">
        <v>3</v>
      </c>
      <c r="C13" s="50" t="s">
        <v>52</v>
      </c>
      <c r="D13" s="64" t="s">
        <v>53</v>
      </c>
      <c r="E13" s="19">
        <f t="shared" ref="E13:L13" si="2">B103+B104+B136+B137</f>
        <v>10.423463716037775</v>
      </c>
      <c r="F13" s="19">
        <f t="shared" si="2"/>
        <v>10.169530215468475</v>
      </c>
      <c r="G13" s="19">
        <f t="shared" si="2"/>
        <v>10.276124589121711</v>
      </c>
      <c r="H13" s="19">
        <f t="shared" si="2"/>
        <v>10.513914218382846</v>
      </c>
      <c r="I13" s="19">
        <f t="shared" si="2"/>
        <v>10.751831910820201</v>
      </c>
      <c r="J13" s="19">
        <f t="shared" si="2"/>
        <v>10.974642784531055</v>
      </c>
      <c r="K13" s="19">
        <f t="shared" si="2"/>
        <v>11.121154407154053</v>
      </c>
      <c r="L13" s="19">
        <f t="shared" si="2"/>
        <v>11.109419296763647</v>
      </c>
    </row>
    <row r="14" spans="1:25" x14ac:dyDescent="0.35">
      <c r="A14" s="50" t="s">
        <v>54</v>
      </c>
      <c r="B14" s="60">
        <v>4</v>
      </c>
      <c r="C14" s="50" t="s">
        <v>55</v>
      </c>
      <c r="D14" s="64" t="s">
        <v>56</v>
      </c>
      <c r="E14" s="19">
        <f>B111+B114+B116+B144+B147+B149</f>
        <v>266.2834093699409</v>
      </c>
      <c r="F14" s="19">
        <f t="shared" ref="F14:L14" si="3">C111+C114+C116+C144+C147+C149</f>
        <v>271.9012570218872</v>
      </c>
      <c r="G14" s="19">
        <f t="shared" si="3"/>
        <v>275.26752327547877</v>
      </c>
      <c r="H14" s="19">
        <f t="shared" si="3"/>
        <v>278.43231872973644</v>
      </c>
      <c r="I14" s="19">
        <f t="shared" si="3"/>
        <v>282.19352261804426</v>
      </c>
      <c r="J14" s="19">
        <f t="shared" si="3"/>
        <v>289.82213066940665</v>
      </c>
      <c r="K14" s="19">
        <f t="shared" si="3"/>
        <v>306.34863993512175</v>
      </c>
      <c r="L14" s="19">
        <f t="shared" si="3"/>
        <v>321.20955839070143</v>
      </c>
    </row>
    <row r="15" spans="1:25" x14ac:dyDescent="0.35">
      <c r="A15" s="50" t="s">
        <v>57</v>
      </c>
      <c r="B15" s="60">
        <v>5</v>
      </c>
      <c r="C15" s="50" t="s">
        <v>58</v>
      </c>
      <c r="D15" s="64" t="s">
        <v>59</v>
      </c>
      <c r="E15" s="19">
        <f>B112+B113+B115+B145+B146+B148</f>
        <v>104.71850258353696</v>
      </c>
      <c r="F15" s="19">
        <f t="shared" ref="F15:L15" si="4">C112+C113+C115+C145+C146+C148</f>
        <v>105.70096161351081</v>
      </c>
      <c r="G15" s="19">
        <f t="shared" si="4"/>
        <v>105.12093819510184</v>
      </c>
      <c r="H15" s="19">
        <f t="shared" si="4"/>
        <v>104.52775570871921</v>
      </c>
      <c r="I15" s="19">
        <f t="shared" si="4"/>
        <v>104.33721452048272</v>
      </c>
      <c r="J15" s="19">
        <f t="shared" si="4"/>
        <v>104.04580678014524</v>
      </c>
      <c r="K15" s="19">
        <f t="shared" si="4"/>
        <v>101.84144611040696</v>
      </c>
      <c r="L15" s="19">
        <f t="shared" si="4"/>
        <v>97.781381322326624</v>
      </c>
    </row>
    <row r="16" spans="1:25" x14ac:dyDescent="0.35">
      <c r="A16" s="50" t="s">
        <v>60</v>
      </c>
      <c r="B16" s="60">
        <v>6</v>
      </c>
      <c r="C16" s="50" t="s">
        <v>61</v>
      </c>
      <c r="D16" s="64">
        <v>61</v>
      </c>
      <c r="E16" s="19">
        <f>B117+B150</f>
        <v>131.31617367250539</v>
      </c>
      <c r="F16" s="19">
        <f t="shared" ref="F16:L17" si="5">C117+C150</f>
        <v>134.17456334022216</v>
      </c>
      <c r="G16" s="19">
        <f t="shared" si="5"/>
        <v>135.30926079911757</v>
      </c>
      <c r="H16" s="19">
        <f t="shared" si="5"/>
        <v>136.09781129576612</v>
      </c>
      <c r="I16" s="19">
        <f t="shared" si="5"/>
        <v>137.41817756771482</v>
      </c>
      <c r="J16" s="19">
        <f t="shared" si="5"/>
        <v>140.03329176231242</v>
      </c>
      <c r="K16" s="19">
        <f t="shared" si="5"/>
        <v>145.02356612621747</v>
      </c>
      <c r="L16" s="19">
        <f t="shared" si="5"/>
        <v>149.34005569013391</v>
      </c>
    </row>
    <row r="17" spans="1:13" x14ac:dyDescent="0.35">
      <c r="A17" s="50" t="s">
        <v>62</v>
      </c>
      <c r="B17" s="60">
        <v>7</v>
      </c>
      <c r="C17" s="50" t="s">
        <v>63</v>
      </c>
      <c r="D17" s="64">
        <v>62</v>
      </c>
      <c r="E17" s="19">
        <f>B118+B151</f>
        <v>198.52369937322882</v>
      </c>
      <c r="F17" s="19">
        <f t="shared" si="5"/>
        <v>210.71367387535665</v>
      </c>
      <c r="G17" s="19">
        <f t="shared" si="5"/>
        <v>216.17917231126955</v>
      </c>
      <c r="H17" s="19">
        <f t="shared" si="5"/>
        <v>220.10376276184365</v>
      </c>
      <c r="I17" s="19">
        <f t="shared" si="5"/>
        <v>224.21159981368513</v>
      </c>
      <c r="J17" s="19">
        <f t="shared" si="5"/>
        <v>231.09399350776661</v>
      </c>
      <c r="K17" s="19">
        <f t="shared" si="5"/>
        <v>240.08266202673417</v>
      </c>
      <c r="L17" s="19">
        <f t="shared" si="5"/>
        <v>242.3430860170543</v>
      </c>
    </row>
    <row r="18" spans="1:13" x14ac:dyDescent="0.35">
      <c r="A18" s="50" t="s">
        <v>64</v>
      </c>
      <c r="B18" s="60">
        <v>8</v>
      </c>
      <c r="C18" s="50" t="s">
        <v>65</v>
      </c>
      <c r="D18" s="64" t="s">
        <v>66</v>
      </c>
      <c r="E18" s="19">
        <f>B109+B142</f>
        <v>143.96632895745731</v>
      </c>
      <c r="F18" s="19">
        <f t="shared" ref="F18:L19" si="6">C109+C142</f>
        <v>131.04396713937422</v>
      </c>
      <c r="G18" s="19">
        <f t="shared" si="6"/>
        <v>128.60158624322392</v>
      </c>
      <c r="H18" s="19">
        <f t="shared" si="6"/>
        <v>127.93196152477873</v>
      </c>
      <c r="I18" s="19">
        <f t="shared" si="6"/>
        <v>128.41653611249978</v>
      </c>
      <c r="J18" s="19">
        <f t="shared" si="6"/>
        <v>130.54217237212492</v>
      </c>
      <c r="K18" s="19">
        <f t="shared" si="6"/>
        <v>132.8269978771055</v>
      </c>
      <c r="L18" s="19">
        <f t="shared" si="6"/>
        <v>131.85726062284033</v>
      </c>
    </row>
    <row r="19" spans="1:13" x14ac:dyDescent="0.35">
      <c r="A19" s="50" t="s">
        <v>67</v>
      </c>
      <c r="B19" s="60">
        <v>9</v>
      </c>
      <c r="C19" s="50" t="s">
        <v>68</v>
      </c>
      <c r="D19" s="64" t="s">
        <v>69</v>
      </c>
      <c r="E19" s="19">
        <f>B110+B143</f>
        <v>31.861368551376689</v>
      </c>
      <c r="F19" s="19">
        <f t="shared" si="6"/>
        <v>34.94490914394548</v>
      </c>
      <c r="G19" s="19">
        <f t="shared" si="6"/>
        <v>35.906043685182418</v>
      </c>
      <c r="H19" s="19">
        <f t="shared" si="6"/>
        <v>35.975468873538993</v>
      </c>
      <c r="I19" s="19">
        <f t="shared" si="6"/>
        <v>36.27486408364161</v>
      </c>
      <c r="J19" s="19">
        <f t="shared" si="6"/>
        <v>36.99854763779814</v>
      </c>
      <c r="K19" s="19">
        <f t="shared" si="6"/>
        <v>38.042886244187144</v>
      </c>
      <c r="L19" s="19">
        <f t="shared" si="6"/>
        <v>38.407547723643965</v>
      </c>
    </row>
    <row r="20" spans="1:13" x14ac:dyDescent="0.35">
      <c r="A20" s="50" t="s">
        <v>70</v>
      </c>
      <c r="B20" s="60">
        <v>10</v>
      </c>
      <c r="C20" s="50" t="s">
        <v>71</v>
      </c>
      <c r="D20" s="64">
        <v>23</v>
      </c>
      <c r="E20" s="19">
        <f>B106+B139</f>
        <v>77.16258266319555</v>
      </c>
      <c r="F20" s="19">
        <f t="shared" ref="F20:L20" si="7">C106+C139</f>
        <v>75.976705217392805</v>
      </c>
      <c r="G20" s="19">
        <f t="shared" si="7"/>
        <v>78.647005772116472</v>
      </c>
      <c r="H20" s="19">
        <f t="shared" si="7"/>
        <v>80.207988794989987</v>
      </c>
      <c r="I20" s="19">
        <f t="shared" si="7"/>
        <v>81.244796780556527</v>
      </c>
      <c r="J20" s="19">
        <f t="shared" si="7"/>
        <v>83.27711099857639</v>
      </c>
      <c r="K20" s="19">
        <f t="shared" si="7"/>
        <v>82.746043624166674</v>
      </c>
      <c r="L20" s="19">
        <f t="shared" si="7"/>
        <v>81.633788484447621</v>
      </c>
    </row>
    <row r="21" spans="1:13" x14ac:dyDescent="0.35">
      <c r="A21" s="50" t="s">
        <v>72</v>
      </c>
      <c r="B21" s="60">
        <v>11</v>
      </c>
      <c r="C21" s="50" t="s">
        <v>73</v>
      </c>
      <c r="D21" s="64">
        <v>22</v>
      </c>
      <c r="E21" s="19">
        <f>B105+B138</f>
        <v>4.7261502821752224</v>
      </c>
      <c r="F21" s="19">
        <f t="shared" ref="F21:L21" si="8">C105+C138</f>
        <v>4.5013968906200024</v>
      </c>
      <c r="G21" s="19">
        <f t="shared" si="8"/>
        <v>4.3313284015650506</v>
      </c>
      <c r="H21" s="19">
        <f t="shared" si="8"/>
        <v>4.1885083024209777</v>
      </c>
      <c r="I21" s="19">
        <f t="shared" si="8"/>
        <v>4.0637368500164399</v>
      </c>
      <c r="J21" s="19">
        <f t="shared" si="8"/>
        <v>3.8493683992919783</v>
      </c>
      <c r="K21" s="19">
        <f t="shared" si="8"/>
        <v>3.3674799073322368</v>
      </c>
      <c r="L21" s="19">
        <f t="shared" si="8"/>
        <v>2.870175045438859</v>
      </c>
    </row>
    <row r="22" spans="1:13" x14ac:dyDescent="0.35">
      <c r="A22" s="50" t="s">
        <v>74</v>
      </c>
      <c r="B22" s="60">
        <v>12</v>
      </c>
      <c r="C22" s="50" t="s">
        <v>75</v>
      </c>
      <c r="D22" s="64" t="s">
        <v>76</v>
      </c>
      <c r="E22" s="19">
        <f>B107+B140</f>
        <v>126.64952423107029</v>
      </c>
      <c r="F22" s="19">
        <f t="shared" ref="F22:L23" si="9">C107+C140</f>
        <v>120.86549557654106</v>
      </c>
      <c r="G22" s="19">
        <f t="shared" si="9"/>
        <v>121.99900489203647</v>
      </c>
      <c r="H22" s="19">
        <f t="shared" si="9"/>
        <v>125.75141246902687</v>
      </c>
      <c r="I22" s="19">
        <f t="shared" si="9"/>
        <v>134.1420737887496</v>
      </c>
      <c r="J22" s="19">
        <f t="shared" si="9"/>
        <v>149.06483417703078</v>
      </c>
      <c r="K22" s="19">
        <f t="shared" si="9"/>
        <v>172.09263546285734</v>
      </c>
      <c r="L22" s="19">
        <f t="shared" si="9"/>
        <v>193.09517303653413</v>
      </c>
    </row>
    <row r="23" spans="1:13" x14ac:dyDescent="0.35">
      <c r="A23" s="50" t="s">
        <v>77</v>
      </c>
      <c r="B23" s="60">
        <v>13</v>
      </c>
      <c r="C23" s="50" t="s">
        <v>78</v>
      </c>
      <c r="D23" s="64">
        <v>42</v>
      </c>
      <c r="E23" s="19">
        <f>B108+B141</f>
        <v>43.59806584954152</v>
      </c>
      <c r="F23" s="19">
        <f t="shared" si="9"/>
        <v>42.040232063990054</v>
      </c>
      <c r="G23" s="19">
        <f t="shared" si="9"/>
        <v>41.729195880942491</v>
      </c>
      <c r="H23" s="19">
        <f t="shared" si="9"/>
        <v>41.675368538579654</v>
      </c>
      <c r="I23" s="19">
        <f t="shared" si="9"/>
        <v>41.702727224060538</v>
      </c>
      <c r="J23" s="19">
        <f t="shared" si="9"/>
        <v>42.068895103738967</v>
      </c>
      <c r="K23" s="19">
        <f t="shared" si="9"/>
        <v>42.263340964516161</v>
      </c>
      <c r="L23" s="19">
        <f t="shared" si="9"/>
        <v>41.391937666915602</v>
      </c>
    </row>
    <row r="24" spans="1:13" x14ac:dyDescent="0.35">
      <c r="A24" s="50" t="s">
        <v>79</v>
      </c>
      <c r="B24" s="60">
        <v>14</v>
      </c>
      <c r="C24" s="50" t="s">
        <v>80</v>
      </c>
      <c r="D24" s="64">
        <v>71</v>
      </c>
      <c r="E24" s="19">
        <f>B119+B152</f>
        <v>35.608989200579309</v>
      </c>
      <c r="F24" s="19">
        <f t="shared" ref="F24:L27" si="10">C119+C152</f>
        <v>40.291111579000706</v>
      </c>
      <c r="G24" s="19">
        <f t="shared" si="10"/>
        <v>42.252415700465633</v>
      </c>
      <c r="H24" s="19">
        <f t="shared" si="10"/>
        <v>42.606870538837846</v>
      </c>
      <c r="I24" s="19">
        <f t="shared" si="10"/>
        <v>43.176115818089855</v>
      </c>
      <c r="J24" s="19">
        <f t="shared" si="10"/>
        <v>44.440327190836413</v>
      </c>
      <c r="K24" s="19">
        <f t="shared" si="10"/>
        <v>46.582764931583782</v>
      </c>
      <c r="L24" s="19">
        <f t="shared" si="10"/>
        <v>48.024115680978703</v>
      </c>
    </row>
    <row r="25" spans="1:13" x14ac:dyDescent="0.35">
      <c r="A25" s="50" t="s">
        <v>81</v>
      </c>
      <c r="B25" s="60">
        <v>15</v>
      </c>
      <c r="C25" s="50" t="s">
        <v>82</v>
      </c>
      <c r="D25" s="64">
        <v>721</v>
      </c>
      <c r="E25" s="19">
        <f>B120+B153</f>
        <v>18.872192498811856</v>
      </c>
      <c r="F25" s="19">
        <f t="shared" si="10"/>
        <v>19.517361083449011</v>
      </c>
      <c r="G25" s="19">
        <f t="shared" si="10"/>
        <v>19.334784688625621</v>
      </c>
      <c r="H25" s="19">
        <f t="shared" si="10"/>
        <v>18.812653914174494</v>
      </c>
      <c r="I25" s="19">
        <f t="shared" si="10"/>
        <v>18.501028378670142</v>
      </c>
      <c r="J25" s="19">
        <f t="shared" si="10"/>
        <v>18.160132345198811</v>
      </c>
      <c r="K25" s="19">
        <f t="shared" si="10"/>
        <v>17.460850432717358</v>
      </c>
      <c r="L25" s="19">
        <f t="shared" si="10"/>
        <v>16.69330603641367</v>
      </c>
    </row>
    <row r="26" spans="1:13" x14ac:dyDescent="0.35">
      <c r="A26" s="50" t="s">
        <v>83</v>
      </c>
      <c r="B26" s="60">
        <v>16</v>
      </c>
      <c r="C26" s="50" t="s">
        <v>84</v>
      </c>
      <c r="D26" s="64">
        <v>722</v>
      </c>
      <c r="E26" s="19">
        <f>B121+B154</f>
        <v>140.13262792819555</v>
      </c>
      <c r="F26" s="19">
        <f t="shared" si="10"/>
        <v>145.87255817570758</v>
      </c>
      <c r="G26" s="19">
        <f t="shared" si="10"/>
        <v>146.98745493611904</v>
      </c>
      <c r="H26" s="19">
        <f t="shared" si="10"/>
        <v>147.35854048496967</v>
      </c>
      <c r="I26" s="19">
        <f t="shared" si="10"/>
        <v>148.40207863845717</v>
      </c>
      <c r="J26" s="19">
        <f t="shared" si="10"/>
        <v>149.96564289432806</v>
      </c>
      <c r="K26" s="19">
        <f t="shared" si="10"/>
        <v>151.83292331827204</v>
      </c>
      <c r="L26" s="19">
        <f t="shared" si="10"/>
        <v>152.28553205444791</v>
      </c>
    </row>
    <row r="27" spans="1:13" x14ac:dyDescent="0.35">
      <c r="A27" s="50" t="s">
        <v>85</v>
      </c>
      <c r="B27" s="60">
        <v>17</v>
      </c>
      <c r="C27" s="50" t="s">
        <v>86</v>
      </c>
      <c r="D27" s="64">
        <v>81</v>
      </c>
      <c r="E27" s="19">
        <f>B122+B155</f>
        <v>50.262281810688748</v>
      </c>
      <c r="F27" s="19">
        <f t="shared" si="10"/>
        <v>53.751952852384811</v>
      </c>
      <c r="G27" s="19">
        <f t="shared" si="10"/>
        <v>54.093068425228779</v>
      </c>
      <c r="H27" s="19">
        <f t="shared" si="10"/>
        <v>53.596106237202854</v>
      </c>
      <c r="I27" s="19">
        <f t="shared" si="10"/>
        <v>53.380712657825583</v>
      </c>
      <c r="J27" s="19">
        <f t="shared" si="10"/>
        <v>53.103893618772133</v>
      </c>
      <c r="K27" s="19">
        <f t="shared" si="10"/>
        <v>52.026205019049399</v>
      </c>
      <c r="L27" s="19">
        <f t="shared" si="10"/>
        <v>49.930122829721</v>
      </c>
    </row>
    <row r="28" spans="1:13" x14ac:dyDescent="0.35">
      <c r="A28" s="50" t="s">
        <v>87</v>
      </c>
      <c r="B28" s="60">
        <v>18</v>
      </c>
      <c r="C28" s="50" t="s">
        <v>88</v>
      </c>
      <c r="D28" s="64" t="s">
        <v>50</v>
      </c>
      <c r="E28" s="19">
        <f>B177+B180+B182</f>
        <v>128.98784497505869</v>
      </c>
      <c r="F28" s="19">
        <f t="shared" ref="F28:L28" si="11">C177+C180+C182</f>
        <v>129.82217739117272</v>
      </c>
      <c r="G28" s="19">
        <f t="shared" si="11"/>
        <v>131.50723277012099</v>
      </c>
      <c r="H28" s="19">
        <f t="shared" si="11"/>
        <v>133.68461355266953</v>
      </c>
      <c r="I28" s="19">
        <f t="shared" si="11"/>
        <v>136.42322003655764</v>
      </c>
      <c r="J28" s="19">
        <f t="shared" si="11"/>
        <v>141.68617926525874</v>
      </c>
      <c r="K28" s="19">
        <f t="shared" si="11"/>
        <v>152.53463216948836</v>
      </c>
      <c r="L28" s="19">
        <f t="shared" si="11"/>
        <v>162.94819311120222</v>
      </c>
    </row>
    <row r="29" spans="1:13" ht="15" thickBot="1" x14ac:dyDescent="0.4">
      <c r="A29" s="51" t="s">
        <v>89</v>
      </c>
      <c r="B29" s="61">
        <v>19</v>
      </c>
      <c r="C29" s="51" t="s">
        <v>90</v>
      </c>
      <c r="D29" s="65" t="s">
        <v>50</v>
      </c>
      <c r="E29" s="19">
        <f>SUM(B169:B176)+SUM(B178:B179)+B181+SUM(B183:B188)</f>
        <v>398.46286217365832</v>
      </c>
      <c r="F29" s="19">
        <f t="shared" ref="F29:L29" si="12">SUM(C169:C176)+SUM(C178:C179)+C181+SUM(C183:C188)</f>
        <v>404.39191082886305</v>
      </c>
      <c r="G29" s="19">
        <f t="shared" si="12"/>
        <v>408.42679039646362</v>
      </c>
      <c r="H29" s="19">
        <f t="shared" si="12"/>
        <v>410.78001555995036</v>
      </c>
      <c r="I29" s="19">
        <f t="shared" si="12"/>
        <v>416.22059390656193</v>
      </c>
      <c r="J29" s="19">
        <f t="shared" si="12"/>
        <v>426.75211053931878</v>
      </c>
      <c r="K29" s="19">
        <f t="shared" si="12"/>
        <v>438.12782856614888</v>
      </c>
      <c r="L29" s="19">
        <f t="shared" si="12"/>
        <v>440.70013629781323</v>
      </c>
      <c r="M29" s="55"/>
    </row>
    <row r="30" spans="1:13" x14ac:dyDescent="0.35">
      <c r="A30" s="52"/>
      <c r="B30" s="52"/>
      <c r="C30" s="52"/>
      <c r="D30" s="54" t="s">
        <v>91</v>
      </c>
      <c r="E30" s="20">
        <f>SUM(E11:E29)</f>
        <v>2139.0825830713902</v>
      </c>
      <c r="F30" s="20">
        <f t="shared" ref="F30:L30" si="13">SUM(F11:F29)</f>
        <v>2160.4035292849021</v>
      </c>
      <c r="G30" s="20">
        <f t="shared" si="13"/>
        <v>2181.5318035009427</v>
      </c>
      <c r="H30" s="20">
        <f t="shared" si="13"/>
        <v>2201.2226456156682</v>
      </c>
      <c r="I30" s="20">
        <f t="shared" si="13"/>
        <v>2231.5729868694721</v>
      </c>
      <c r="J30" s="20">
        <f t="shared" si="13"/>
        <v>2289.762720069743</v>
      </c>
      <c r="K30" s="20">
        <f t="shared" si="13"/>
        <v>2373.0512687429236</v>
      </c>
      <c r="L30" s="20">
        <f t="shared" si="13"/>
        <v>2421.7015952873007</v>
      </c>
    </row>
    <row r="31" spans="1:13" x14ac:dyDescent="0.35">
      <c r="A31" s="53"/>
      <c r="D31" s="68"/>
      <c r="E31" s="66"/>
      <c r="F31" s="66"/>
      <c r="G31" s="66"/>
      <c r="H31" s="66"/>
      <c r="I31" s="66"/>
      <c r="J31" s="66"/>
      <c r="K31" s="66"/>
      <c r="L31" s="66"/>
    </row>
    <row r="32" spans="1:13" x14ac:dyDescent="0.35">
      <c r="D32" s="68"/>
      <c r="E32" s="67"/>
      <c r="F32" s="67"/>
      <c r="G32" s="67"/>
      <c r="H32" s="67"/>
      <c r="I32" s="67"/>
      <c r="J32" s="67"/>
      <c r="K32" s="67"/>
      <c r="L32" s="67"/>
    </row>
    <row r="33" spans="1:26" ht="18.5" x14ac:dyDescent="0.45">
      <c r="B33" s="47"/>
      <c r="J33"/>
      <c r="K33"/>
      <c r="L33"/>
      <c r="R33" s="4"/>
    </row>
    <row r="34" spans="1:26" x14ac:dyDescent="0.35">
      <c r="J34"/>
      <c r="K34"/>
      <c r="L34"/>
      <c r="T34" s="4"/>
    </row>
    <row r="35" spans="1:26" ht="15.5" x14ac:dyDescent="0.35">
      <c r="A35" s="39" t="s">
        <v>92</v>
      </c>
      <c r="B35" s="39"/>
      <c r="M35" s="9"/>
      <c r="N35" s="9"/>
      <c r="O35" s="9"/>
      <c r="P35" s="9"/>
      <c r="T35" s="4"/>
      <c r="U35" s="7"/>
      <c r="V35" s="7"/>
      <c r="W35" s="7"/>
      <c r="X35" s="7"/>
      <c r="Y35" s="7"/>
      <c r="Z35" s="7"/>
    </row>
    <row r="36" spans="1:26" x14ac:dyDescent="0.35">
      <c r="B36" s="27">
        <v>2022</v>
      </c>
      <c r="C36" s="27">
        <v>2026</v>
      </c>
      <c r="D36" s="27">
        <v>2029</v>
      </c>
      <c r="E36" s="27">
        <v>2032</v>
      </c>
      <c r="F36" s="27">
        <v>2035</v>
      </c>
      <c r="G36" s="27">
        <v>2040</v>
      </c>
      <c r="H36" s="27">
        <v>2050</v>
      </c>
      <c r="I36" s="27">
        <v>2060</v>
      </c>
      <c r="M36" s="9"/>
      <c r="N36" s="9"/>
      <c r="O36" s="9"/>
      <c r="P36" s="9"/>
      <c r="Q36" s="6"/>
      <c r="R36" s="43"/>
      <c r="S36" s="21"/>
      <c r="T36" s="21"/>
      <c r="U36" s="21"/>
      <c r="V36" s="21"/>
      <c r="W36" s="21"/>
      <c r="X36" s="31"/>
      <c r="Y36" s="17"/>
      <c r="Z36" s="23"/>
    </row>
    <row r="37" spans="1:26" x14ac:dyDescent="0.35">
      <c r="A37" s="10" t="s">
        <v>93</v>
      </c>
      <c r="B37" s="19">
        <v>1911.5560678370587</v>
      </c>
      <c r="C37" s="19">
        <v>1935.6797640088869</v>
      </c>
      <c r="D37" s="19">
        <v>1955.9689309621801</v>
      </c>
      <c r="E37" s="19">
        <v>1972.2450715055884</v>
      </c>
      <c r="F37" s="19">
        <v>2000.8608307064337</v>
      </c>
      <c r="G37" s="19">
        <v>2055.8790800464362</v>
      </c>
      <c r="H37" s="19">
        <v>2134.3220571230595</v>
      </c>
      <c r="I37" s="19">
        <v>2181.620789307377</v>
      </c>
      <c r="J37" s="44"/>
      <c r="K37" s="44"/>
      <c r="L37" s="44"/>
      <c r="M37" s="44"/>
      <c r="N37" s="44"/>
      <c r="O37" s="44"/>
      <c r="P37" s="19"/>
      <c r="R37" s="43"/>
      <c r="S37" s="21"/>
      <c r="T37" s="21"/>
      <c r="U37" s="21"/>
      <c r="V37" s="21"/>
      <c r="W37" s="21"/>
      <c r="X37" s="31"/>
      <c r="Y37" s="17"/>
      <c r="Z37" s="23"/>
    </row>
    <row r="38" spans="1:26" x14ac:dyDescent="0.35">
      <c r="A38" s="8" t="s">
        <v>94</v>
      </c>
      <c r="B38" s="19">
        <v>10.0754546891652</v>
      </c>
      <c r="C38" s="19">
        <v>9.7946610571673371</v>
      </c>
      <c r="D38" s="19">
        <v>9.8954722950601379</v>
      </c>
      <c r="E38" s="19">
        <v>10.134721984719963</v>
      </c>
      <c r="F38" s="19">
        <v>10.378379120297968</v>
      </c>
      <c r="G38" s="19">
        <v>10.610578095703332</v>
      </c>
      <c r="H38" s="19">
        <v>10.775624614839955</v>
      </c>
      <c r="I38" s="19">
        <v>10.784198786849229</v>
      </c>
      <c r="J38" s="44"/>
      <c r="K38" s="44"/>
      <c r="L38" s="44"/>
      <c r="M38" s="44"/>
      <c r="N38" s="44"/>
      <c r="O38" s="44"/>
      <c r="P38" s="32"/>
      <c r="R38" s="43"/>
      <c r="S38" s="21"/>
      <c r="T38" s="21"/>
      <c r="U38" s="21"/>
      <c r="V38" s="21"/>
      <c r="W38" s="21"/>
      <c r="X38" s="31"/>
      <c r="Y38" s="17"/>
      <c r="Z38" s="23"/>
    </row>
    <row r="39" spans="1:26" x14ac:dyDescent="0.35">
      <c r="A39" s="8" t="s">
        <v>95</v>
      </c>
      <c r="B39" s="19">
        <v>1.9138219421464899</v>
      </c>
      <c r="C39" s="19">
        <v>1.95667529796637</v>
      </c>
      <c r="D39" s="19">
        <v>1.9774893064957999</v>
      </c>
      <c r="E39" s="19">
        <v>1.98592115305733</v>
      </c>
      <c r="F39" s="19">
        <v>1.9846661760419799</v>
      </c>
      <c r="G39" s="19">
        <v>1.9861915174934901</v>
      </c>
      <c r="H39" s="19">
        <v>1.96646459575775</v>
      </c>
      <c r="I39" s="19">
        <v>1.93527596084819</v>
      </c>
      <c r="J39" s="44"/>
      <c r="K39" s="44"/>
      <c r="L39" s="44"/>
      <c r="M39" s="44"/>
      <c r="N39" s="44"/>
      <c r="O39" s="44"/>
      <c r="P39" s="32"/>
      <c r="R39" s="43"/>
      <c r="S39" s="21"/>
      <c r="T39" s="21"/>
      <c r="U39" s="21"/>
      <c r="V39" s="21"/>
      <c r="W39" s="21"/>
      <c r="X39" s="31"/>
      <c r="Y39" s="17"/>
      <c r="Z39" s="23"/>
    </row>
    <row r="40" spans="1:26" x14ac:dyDescent="0.35">
      <c r="A40" s="8" t="s">
        <v>96</v>
      </c>
      <c r="B40" s="19">
        <v>5.09471004048756</v>
      </c>
      <c r="C40" s="19">
        <v>4.8479267352304003</v>
      </c>
      <c r="D40" s="19">
        <v>4.66436261658371</v>
      </c>
      <c r="E40" s="19">
        <v>4.5112280107688898</v>
      </c>
      <c r="F40" s="19">
        <v>4.3779984348258401</v>
      </c>
      <c r="G40" s="19">
        <v>4.1489773991595502</v>
      </c>
      <c r="H40" s="19">
        <v>3.6322081293679198</v>
      </c>
      <c r="I40" s="19">
        <v>3.0980725765505102</v>
      </c>
      <c r="J40" s="44"/>
      <c r="K40" s="44"/>
      <c r="L40" s="44"/>
      <c r="M40" s="44"/>
      <c r="N40" s="44"/>
      <c r="O40" s="44"/>
      <c r="P40" s="32"/>
      <c r="Q40" s="6"/>
      <c r="R40" s="43"/>
      <c r="S40" s="21"/>
      <c r="T40" s="19"/>
      <c r="U40" s="19"/>
      <c r="V40" s="19"/>
      <c r="W40" s="19"/>
      <c r="X40" s="31"/>
      <c r="Y40" s="17"/>
      <c r="Z40" s="17"/>
    </row>
    <row r="41" spans="1:26" x14ac:dyDescent="0.35">
      <c r="A41" s="8" t="s">
        <v>70</v>
      </c>
      <c r="B41" s="19">
        <v>100.245471541767</v>
      </c>
      <c r="C41" s="19">
        <v>98.354399886883414</v>
      </c>
      <c r="D41" s="19">
        <v>101.777525476107</v>
      </c>
      <c r="E41" s="19">
        <v>103.85632676524199</v>
      </c>
      <c r="F41" s="19">
        <v>105.30516879533501</v>
      </c>
      <c r="G41" s="19">
        <v>108.131490867803</v>
      </c>
      <c r="H41" s="19">
        <v>107.740632121405</v>
      </c>
      <c r="I41" s="19">
        <v>106.591710202827</v>
      </c>
      <c r="J41" s="44"/>
      <c r="K41" s="44"/>
      <c r="L41" s="44"/>
      <c r="M41" s="44"/>
      <c r="N41" s="44"/>
      <c r="O41" s="44"/>
      <c r="P41" s="32"/>
      <c r="R41" s="43"/>
      <c r="T41" s="21"/>
      <c r="U41" s="21"/>
      <c r="V41" s="21"/>
      <c r="W41" s="21"/>
      <c r="X41" s="31"/>
      <c r="Y41" s="17"/>
      <c r="Z41" s="23"/>
    </row>
    <row r="42" spans="1:26" x14ac:dyDescent="0.35">
      <c r="A42" s="8" t="s">
        <v>74</v>
      </c>
      <c r="B42" s="19">
        <v>134.34953747164701</v>
      </c>
      <c r="C42" s="19">
        <v>128.12107363606199</v>
      </c>
      <c r="D42" s="19">
        <v>129.31390907956799</v>
      </c>
      <c r="E42" s="19">
        <v>133.30667315794599</v>
      </c>
      <c r="F42" s="19">
        <v>142.230722294499</v>
      </c>
      <c r="G42" s="19">
        <v>158.11051793891397</v>
      </c>
      <c r="H42" s="19">
        <v>182.63866786026603</v>
      </c>
      <c r="I42" s="19">
        <v>205.04507168279804</v>
      </c>
      <c r="J42" s="44"/>
      <c r="K42" s="44"/>
      <c r="L42" s="44"/>
      <c r="M42" s="44"/>
      <c r="N42" s="44"/>
      <c r="O42" s="44"/>
      <c r="P42" s="32"/>
      <c r="R42" s="43"/>
      <c r="T42" s="21"/>
      <c r="U42" s="21"/>
      <c r="V42" s="21"/>
      <c r="W42" s="21"/>
      <c r="X42" s="31"/>
      <c r="Y42" s="17"/>
      <c r="Z42" s="23"/>
    </row>
    <row r="43" spans="1:26" x14ac:dyDescent="0.35">
      <c r="A43" s="8" t="s">
        <v>97</v>
      </c>
      <c r="B43" s="19">
        <v>53.164507693643898</v>
      </c>
      <c r="C43" s="19">
        <v>51.131216588020102</v>
      </c>
      <c r="D43" s="19">
        <v>50.740596885282699</v>
      </c>
      <c r="E43" s="19">
        <v>50.696193559026803</v>
      </c>
      <c r="F43" s="19">
        <v>50.767112412381501</v>
      </c>
      <c r="G43" s="19">
        <v>51.279748465235301</v>
      </c>
      <c r="H43" s="19">
        <v>51.621760869043001</v>
      </c>
      <c r="I43" s="19">
        <v>50.661684027017998</v>
      </c>
      <c r="J43" s="44"/>
      <c r="K43" s="44"/>
      <c r="L43" s="44"/>
      <c r="M43" s="44"/>
      <c r="N43" s="44"/>
      <c r="O43" s="44"/>
      <c r="P43" s="32"/>
      <c r="Q43" s="6"/>
      <c r="R43" s="43"/>
      <c r="S43" s="21"/>
      <c r="T43" s="21"/>
      <c r="U43" s="21"/>
      <c r="V43" s="21"/>
      <c r="W43" s="21"/>
      <c r="X43" s="31"/>
      <c r="Y43" s="17"/>
      <c r="Z43" s="17"/>
    </row>
    <row r="44" spans="1:26" x14ac:dyDescent="0.35">
      <c r="A44" s="8" t="s">
        <v>98</v>
      </c>
      <c r="B44" s="19">
        <v>173.23513758264099</v>
      </c>
      <c r="C44" s="19">
        <v>157.30470507040999</v>
      </c>
      <c r="D44" s="19">
        <v>154.33814246232703</v>
      </c>
      <c r="E44" s="19">
        <v>153.59360458038401</v>
      </c>
      <c r="F44" s="19">
        <v>154.28137746901999</v>
      </c>
      <c r="G44" s="19">
        <v>157.024915720758</v>
      </c>
      <c r="H44" s="19">
        <v>160.07492285582799</v>
      </c>
      <c r="I44" s="19">
        <v>159.20986043137299</v>
      </c>
      <c r="J44" s="44"/>
      <c r="K44" s="44"/>
      <c r="L44" s="44"/>
      <c r="M44" s="44"/>
      <c r="N44" s="44"/>
      <c r="O44" s="44"/>
      <c r="P44" s="32"/>
      <c r="R44" s="43"/>
      <c r="T44" s="21"/>
      <c r="U44" s="21"/>
      <c r="V44" s="21"/>
      <c r="W44" s="21"/>
      <c r="X44" s="31"/>
      <c r="Y44" s="17"/>
      <c r="Z44" s="23"/>
    </row>
    <row r="45" spans="1:26" x14ac:dyDescent="0.35">
      <c r="A45" s="8" t="s">
        <v>99</v>
      </c>
      <c r="B45" s="19">
        <v>80.815800329773694</v>
      </c>
      <c r="C45" s="19">
        <v>87.044174654379191</v>
      </c>
      <c r="D45" s="19">
        <v>89.288749088369599</v>
      </c>
      <c r="E45" s="19">
        <v>89.71783653455762</v>
      </c>
      <c r="F45" s="19">
        <v>90.929747585007505</v>
      </c>
      <c r="G45" s="19">
        <v>93.589896605999797</v>
      </c>
      <c r="H45" s="19">
        <v>97.618645960738206</v>
      </c>
      <c r="I45" s="19">
        <v>100.01027785614001</v>
      </c>
      <c r="J45" s="44"/>
      <c r="K45" s="44"/>
      <c r="L45" s="44"/>
      <c r="M45" s="44"/>
      <c r="N45" s="44"/>
      <c r="O45" s="44"/>
      <c r="P45" s="32"/>
      <c r="R45" s="43"/>
      <c r="T45" s="21"/>
      <c r="U45" s="21"/>
      <c r="V45" s="21"/>
      <c r="W45" s="21"/>
      <c r="X45" s="31"/>
      <c r="Y45" s="17"/>
      <c r="Z45" s="23"/>
    </row>
    <row r="46" spans="1:26" x14ac:dyDescent="0.35">
      <c r="A46" s="8" t="s">
        <v>100</v>
      </c>
      <c r="B46" s="19">
        <v>29.306848744393601</v>
      </c>
      <c r="C46" s="19">
        <v>28.406687266980001</v>
      </c>
      <c r="D46" s="19">
        <v>27.803388264164798</v>
      </c>
      <c r="E46" s="19">
        <v>27.2560165076709</v>
      </c>
      <c r="F46" s="19">
        <v>26.893969938724901</v>
      </c>
      <c r="G46" s="19">
        <v>26.6806043496074</v>
      </c>
      <c r="H46" s="19">
        <v>26.400491072667105</v>
      </c>
      <c r="I46" s="19">
        <v>25.788473063870601</v>
      </c>
      <c r="J46" s="44"/>
      <c r="K46" s="44"/>
      <c r="L46" s="44"/>
      <c r="M46" s="44"/>
      <c r="N46" s="44"/>
      <c r="O46" s="44"/>
      <c r="P46" s="32"/>
      <c r="Q46" s="6"/>
      <c r="R46" s="43"/>
      <c r="S46" s="21"/>
      <c r="T46" s="21"/>
      <c r="U46" s="21"/>
      <c r="V46" s="21"/>
      <c r="W46" s="21"/>
      <c r="X46" s="31"/>
      <c r="Y46" s="17"/>
      <c r="Z46" s="17"/>
    </row>
    <row r="47" spans="1:26" x14ac:dyDescent="0.35">
      <c r="A47" s="8" t="s">
        <v>101</v>
      </c>
      <c r="B47" s="19">
        <v>96.052504587600097</v>
      </c>
      <c r="C47" s="19">
        <v>95.493825594846001</v>
      </c>
      <c r="D47" s="19">
        <v>94.434842028598382</v>
      </c>
      <c r="E47" s="19">
        <v>93.691384206479995</v>
      </c>
      <c r="F47" s="19">
        <v>93.176739579527606</v>
      </c>
      <c r="G47" s="19">
        <v>92.259490334982104</v>
      </c>
      <c r="H47" s="19">
        <v>88.781342496254894</v>
      </c>
      <c r="I47" s="19">
        <v>83.768512221478204</v>
      </c>
      <c r="J47" s="44"/>
      <c r="K47" s="44"/>
      <c r="L47" s="44"/>
      <c r="M47" s="44"/>
      <c r="N47" s="44"/>
      <c r="O47" s="44"/>
      <c r="P47" s="32"/>
      <c r="R47" s="43"/>
      <c r="T47" s="21"/>
      <c r="U47" s="21"/>
      <c r="V47" s="21"/>
      <c r="W47" s="21"/>
      <c r="X47" s="31"/>
      <c r="Y47" s="17"/>
      <c r="Z47" s="23"/>
    </row>
    <row r="48" spans="1:26" x14ac:dyDescent="0.35">
      <c r="A48" s="8" t="s">
        <v>102</v>
      </c>
      <c r="B48" s="19">
        <v>108.20042512987899</v>
      </c>
      <c r="C48" s="19">
        <v>109.048048019063</v>
      </c>
      <c r="D48" s="19">
        <v>109.54800918619701</v>
      </c>
      <c r="E48" s="19">
        <v>110.429667058863</v>
      </c>
      <c r="F48" s="19">
        <v>111.606587179393</v>
      </c>
      <c r="G48" s="19">
        <v>113.056344743446</v>
      </c>
      <c r="H48" s="19">
        <v>112.824779079442</v>
      </c>
      <c r="I48" s="19">
        <v>109.75714372151999</v>
      </c>
      <c r="J48" s="44"/>
      <c r="K48" s="44"/>
      <c r="L48" s="44"/>
      <c r="M48" s="44"/>
      <c r="N48" s="44"/>
      <c r="O48" s="44"/>
      <c r="P48" s="32"/>
      <c r="R48" s="43"/>
      <c r="T48" s="21"/>
      <c r="U48" s="21"/>
      <c r="V48" s="21"/>
      <c r="W48" s="21"/>
      <c r="X48" s="31"/>
      <c r="Y48" s="17"/>
      <c r="Z48" s="23"/>
    </row>
    <row r="49" spans="1:26" x14ac:dyDescent="0.35">
      <c r="A49" s="8" t="s">
        <v>103</v>
      </c>
      <c r="B49" s="19">
        <v>236.552433698551</v>
      </c>
      <c r="C49" s="19">
        <v>242.17279486214898</v>
      </c>
      <c r="D49" s="19">
        <v>246.37424557682198</v>
      </c>
      <c r="E49" s="19">
        <v>250.85053555385304</v>
      </c>
      <c r="F49" s="19">
        <v>255.72060718236401</v>
      </c>
      <c r="G49" s="19">
        <v>264.77920139005698</v>
      </c>
      <c r="H49" s="19">
        <v>285.56225860004002</v>
      </c>
      <c r="I49" s="19">
        <v>306.64404222140399</v>
      </c>
      <c r="J49" s="44"/>
      <c r="K49" s="44"/>
      <c r="L49" s="44"/>
      <c r="M49" s="44"/>
      <c r="N49" s="44"/>
      <c r="O49" s="44"/>
      <c r="P49" s="32"/>
      <c r="Q49" s="6"/>
      <c r="R49" s="43"/>
      <c r="S49" s="21"/>
      <c r="T49" s="21"/>
      <c r="U49" s="21"/>
      <c r="V49" s="21"/>
      <c r="W49" s="21"/>
      <c r="X49" s="31"/>
      <c r="Y49" s="17"/>
      <c r="Z49" s="17"/>
    </row>
    <row r="50" spans="1:26" x14ac:dyDescent="0.35">
      <c r="A50" s="8" t="s">
        <v>104</v>
      </c>
      <c r="B50" s="19">
        <v>29.202781344427699</v>
      </c>
      <c r="C50" s="19">
        <v>28.620196885342999</v>
      </c>
      <c r="D50" s="19">
        <v>28.242156464132901</v>
      </c>
      <c r="E50" s="19">
        <v>27.979727600420699</v>
      </c>
      <c r="F50" s="19">
        <v>28.161014285919101</v>
      </c>
      <c r="G50" s="19">
        <v>28.746530141428096</v>
      </c>
      <c r="H50" s="19">
        <v>29.6306845822998</v>
      </c>
      <c r="I50" s="19">
        <v>30.120471335590601</v>
      </c>
      <c r="J50" s="44"/>
      <c r="K50" s="44"/>
      <c r="L50" s="44"/>
      <c r="M50" s="44"/>
      <c r="N50" s="44"/>
      <c r="O50" s="44"/>
      <c r="P50" s="32"/>
      <c r="R50" s="43"/>
      <c r="T50" s="21"/>
      <c r="U50" s="21"/>
      <c r="V50" s="21"/>
      <c r="W50" s="21"/>
      <c r="X50" s="31"/>
      <c r="Y50" s="17"/>
      <c r="Z50" s="23"/>
    </row>
    <row r="51" spans="1:26" x14ac:dyDescent="0.35">
      <c r="A51" s="8" t="s">
        <v>105</v>
      </c>
      <c r="B51" s="19">
        <v>129.411971902055</v>
      </c>
      <c r="C51" s="19">
        <v>131.14395228393099</v>
      </c>
      <c r="D51" s="19">
        <v>132.59712220461299</v>
      </c>
      <c r="E51" s="19">
        <v>134.01038022088201</v>
      </c>
      <c r="F51" s="19">
        <v>136.00216553351299</v>
      </c>
      <c r="G51" s="19">
        <v>140.04850419500099</v>
      </c>
      <c r="H51" s="19">
        <v>146.92052243190301</v>
      </c>
      <c r="I51" s="19">
        <v>151.72523621662901</v>
      </c>
      <c r="J51" s="44"/>
      <c r="K51" s="44"/>
      <c r="L51" s="44"/>
      <c r="M51" s="44"/>
      <c r="N51" s="44"/>
      <c r="O51" s="44"/>
      <c r="P51" s="32"/>
      <c r="R51" s="43"/>
      <c r="T51" s="21"/>
      <c r="U51" s="21"/>
      <c r="V51" s="21"/>
      <c r="W51" s="21"/>
      <c r="X51" s="31"/>
      <c r="Y51" s="17"/>
      <c r="Z51" s="23"/>
    </row>
    <row r="52" spans="1:26" x14ac:dyDescent="0.35">
      <c r="A52" s="8" t="s">
        <v>106</v>
      </c>
      <c r="B52" s="19">
        <v>153.56448365548499</v>
      </c>
      <c r="C52" s="19">
        <v>157.36498069678666</v>
      </c>
      <c r="D52" s="19">
        <v>158.73687065211828</v>
      </c>
      <c r="E52" s="19">
        <v>159.62066420128181</v>
      </c>
      <c r="F52" s="19">
        <v>161.50284459214083</v>
      </c>
      <c r="G52" s="19">
        <v>165.39246175635162</v>
      </c>
      <c r="H52" s="19">
        <v>172.64671910369145</v>
      </c>
      <c r="I52" s="19">
        <v>178.70712418693634</v>
      </c>
      <c r="J52" s="44"/>
      <c r="K52" s="44"/>
      <c r="L52" s="44"/>
      <c r="M52" s="44"/>
      <c r="N52" s="44"/>
      <c r="O52" s="44"/>
      <c r="P52" s="32"/>
      <c r="R52" s="43"/>
      <c r="T52" s="21"/>
      <c r="U52" s="21"/>
      <c r="V52" s="21"/>
      <c r="W52" s="21"/>
      <c r="X52" s="31"/>
      <c r="Y52" s="17"/>
      <c r="Z52" s="23"/>
    </row>
    <row r="53" spans="1:26" x14ac:dyDescent="0.35">
      <c r="A53" s="8" t="s">
        <v>107</v>
      </c>
      <c r="B53" s="19">
        <v>231.095043162038</v>
      </c>
      <c r="C53" s="19">
        <v>244.9535673082614</v>
      </c>
      <c r="D53" s="19">
        <v>251.316397591618</v>
      </c>
      <c r="E53" s="19">
        <v>255.99247719975486</v>
      </c>
      <c r="F53" s="19">
        <v>260.95214604098862</v>
      </c>
      <c r="G53" s="19">
        <v>269.28728593556144</v>
      </c>
      <c r="H53" s="19">
        <v>280.24178799021001</v>
      </c>
      <c r="I53" s="19">
        <v>283.27577163942556</v>
      </c>
      <c r="J53" s="44"/>
      <c r="K53" s="44"/>
      <c r="L53" s="44"/>
      <c r="M53" s="44"/>
      <c r="N53" s="44"/>
      <c r="O53" s="44"/>
      <c r="P53" s="32"/>
      <c r="R53" s="43"/>
      <c r="S53" s="21"/>
      <c r="T53" s="21"/>
      <c r="U53" s="21"/>
      <c r="V53" s="21"/>
      <c r="W53" s="21"/>
      <c r="X53" s="31"/>
      <c r="Y53" s="17"/>
      <c r="Z53" s="23"/>
    </row>
    <row r="54" spans="1:26" x14ac:dyDescent="0.35">
      <c r="A54" s="8" t="s">
        <v>108</v>
      </c>
      <c r="B54" s="19">
        <v>57.511717049364599</v>
      </c>
      <c r="C54" s="19">
        <v>65.451029681322083</v>
      </c>
      <c r="D54" s="19">
        <v>68.895678939428052</v>
      </c>
      <c r="E54" s="19">
        <v>69.575262707350234</v>
      </c>
      <c r="F54" s="19">
        <v>70.721585166403116</v>
      </c>
      <c r="G54" s="19">
        <v>73.237287309139688</v>
      </c>
      <c r="H54" s="19">
        <v>77.475211367746454</v>
      </c>
      <c r="I54" s="19">
        <v>80.47474491761804</v>
      </c>
      <c r="J54" s="44"/>
      <c r="K54" s="44"/>
      <c r="L54" s="44"/>
      <c r="M54" s="44"/>
      <c r="N54" s="44"/>
      <c r="O54" s="44"/>
      <c r="P54" s="32"/>
      <c r="Q54" s="6"/>
      <c r="R54" s="43"/>
      <c r="S54" s="21"/>
      <c r="T54" s="21"/>
      <c r="U54" s="21"/>
      <c r="V54" s="21"/>
      <c r="W54" s="21"/>
      <c r="X54" s="31"/>
      <c r="Y54" s="17"/>
      <c r="Z54" s="17"/>
    </row>
    <row r="55" spans="1:26" x14ac:dyDescent="0.35">
      <c r="A55" s="8" t="s">
        <v>109</v>
      </c>
      <c r="B55" s="19">
        <v>19.202969667546299</v>
      </c>
      <c r="C55" s="19">
        <v>19.855301210198</v>
      </c>
      <c r="D55" s="19">
        <v>19.6691810262666</v>
      </c>
      <c r="E55" s="19">
        <v>19.138656347280001</v>
      </c>
      <c r="F55" s="19">
        <v>18.822747894692</v>
      </c>
      <c r="G55" s="19">
        <v>18.477851906877302</v>
      </c>
      <c r="H55" s="19">
        <v>17.769223653892801</v>
      </c>
      <c r="I55" s="19">
        <v>16.990913242033699</v>
      </c>
      <c r="J55" s="44"/>
      <c r="K55" s="44"/>
      <c r="L55" s="44"/>
      <c r="M55" s="44"/>
      <c r="N55" s="44"/>
      <c r="O55" s="44"/>
      <c r="P55" s="32"/>
      <c r="R55" s="43"/>
      <c r="T55" s="21"/>
      <c r="U55" s="21"/>
      <c r="V55" s="21"/>
      <c r="W55" s="21"/>
      <c r="X55" s="31"/>
      <c r="Y55" s="17"/>
      <c r="Z55" s="23"/>
    </row>
    <row r="56" spans="1:26" x14ac:dyDescent="0.35">
      <c r="A56" s="8" t="s">
        <v>110</v>
      </c>
      <c r="B56" s="19">
        <v>142.58876406162699</v>
      </c>
      <c r="C56" s="19">
        <v>148.398319244959</v>
      </c>
      <c r="D56" s="19">
        <v>149.52961236902399</v>
      </c>
      <c r="E56" s="19">
        <v>149.912100602332</v>
      </c>
      <c r="F56" s="19">
        <v>150.982683561546</v>
      </c>
      <c r="G56" s="19">
        <v>152.58935826278</v>
      </c>
      <c r="H56" s="19">
        <v>154.514419722159</v>
      </c>
      <c r="I56" s="19">
        <v>155.00046890112301</v>
      </c>
      <c r="J56" s="44"/>
      <c r="K56" s="44"/>
      <c r="L56" s="44"/>
      <c r="M56" s="44"/>
      <c r="N56" s="44"/>
      <c r="O56" s="44"/>
      <c r="P56" s="32"/>
      <c r="R56" s="43"/>
      <c r="T56" s="21"/>
      <c r="U56" s="21"/>
      <c r="V56" s="21"/>
      <c r="W56" s="21"/>
      <c r="X56" s="31"/>
      <c r="Y56" s="17"/>
      <c r="Z56" s="23"/>
    </row>
    <row r="57" spans="1:26" x14ac:dyDescent="0.35">
      <c r="A57" s="8" t="s">
        <v>111</v>
      </c>
      <c r="B57" s="19">
        <v>119.97168354282</v>
      </c>
      <c r="C57" s="19">
        <v>126.216228028929</v>
      </c>
      <c r="D57" s="19">
        <v>126.825179449403</v>
      </c>
      <c r="E57" s="19">
        <v>125.985693553717</v>
      </c>
      <c r="F57" s="19">
        <v>126.062567463813</v>
      </c>
      <c r="G57" s="19">
        <v>126.441843110138</v>
      </c>
      <c r="H57" s="19">
        <v>125.485690015507</v>
      </c>
      <c r="I57" s="19">
        <v>122.031736115344</v>
      </c>
      <c r="J57" s="44"/>
      <c r="K57" s="44"/>
      <c r="L57" s="44"/>
      <c r="M57" s="44"/>
      <c r="N57" s="44"/>
      <c r="O57" s="44"/>
      <c r="P57" s="32"/>
      <c r="R57" s="43"/>
      <c r="S57" s="21"/>
      <c r="T57" s="21"/>
      <c r="U57" s="21"/>
      <c r="V57" s="21"/>
      <c r="W57" s="21"/>
      <c r="X57" s="31"/>
      <c r="Y57" s="17"/>
      <c r="Z57" s="23"/>
    </row>
    <row r="58" spans="1:26" x14ac:dyDescent="0.35">
      <c r="B58" s="19"/>
      <c r="C58" s="19"/>
      <c r="D58" s="19"/>
      <c r="E58" s="19"/>
      <c r="F58" s="19"/>
      <c r="G58" s="19"/>
      <c r="H58" s="19"/>
      <c r="I58" s="19"/>
      <c r="J58" s="44"/>
      <c r="K58" s="44"/>
      <c r="L58" s="44"/>
      <c r="M58" s="44"/>
      <c r="N58" s="44"/>
      <c r="O58" s="44"/>
      <c r="P58" s="32"/>
      <c r="R58" s="43"/>
      <c r="S58" s="21"/>
      <c r="T58" s="21"/>
      <c r="U58" s="21"/>
      <c r="V58" s="21"/>
      <c r="W58" s="21"/>
      <c r="X58" s="31"/>
      <c r="Y58" s="17"/>
      <c r="Z58" s="23"/>
    </row>
    <row r="59" spans="1:26" x14ac:dyDescent="0.35">
      <c r="A59" s="8" t="s">
        <v>112</v>
      </c>
      <c r="B59" s="19">
        <v>73.397775208214</v>
      </c>
      <c r="C59" s="19">
        <v>72.345096356238841</v>
      </c>
      <c r="D59" s="19">
        <v>73.12896062610325</v>
      </c>
      <c r="E59" s="19">
        <v>74.021475195653068</v>
      </c>
      <c r="F59" s="19">
        <v>74.771571225609421</v>
      </c>
      <c r="G59" s="19">
        <v>76.387218016687186</v>
      </c>
      <c r="H59" s="19">
        <v>75.655405788395512</v>
      </c>
      <c r="I59" s="19">
        <v>70.602050438603584</v>
      </c>
      <c r="J59" s="44"/>
      <c r="K59" s="44"/>
      <c r="L59" s="44"/>
      <c r="M59" s="44"/>
      <c r="N59" s="44"/>
      <c r="O59" s="44"/>
      <c r="P59" s="32"/>
      <c r="R59" s="43"/>
      <c r="S59" s="21"/>
      <c r="T59" s="21"/>
      <c r="U59" s="21"/>
      <c r="V59" s="21"/>
      <c r="W59" s="21"/>
      <c r="X59" s="31"/>
      <c r="Y59" s="17"/>
      <c r="Z59" s="23"/>
    </row>
    <row r="60" spans="1:26" x14ac:dyDescent="0.35">
      <c r="A60" s="8" t="s">
        <v>113</v>
      </c>
      <c r="B60" s="19">
        <v>44.128740008151098</v>
      </c>
      <c r="C60" s="19">
        <v>42.378668948342792</v>
      </c>
      <c r="D60" s="19">
        <v>42.433912285938511</v>
      </c>
      <c r="E60" s="19">
        <v>44.956099227446799</v>
      </c>
      <c r="F60" s="19">
        <v>45.940585301950833</v>
      </c>
      <c r="G60" s="19">
        <v>47.496421910926777</v>
      </c>
      <c r="H60" s="19">
        <v>53.07380625956921</v>
      </c>
      <c r="I60" s="19">
        <v>59.478755831662859</v>
      </c>
      <c r="J60" s="44"/>
      <c r="K60" s="44"/>
      <c r="L60" s="44"/>
      <c r="M60" s="44"/>
      <c r="N60" s="44"/>
      <c r="O60" s="44"/>
      <c r="P60" s="32"/>
      <c r="R60" s="43"/>
      <c r="S60" s="21"/>
      <c r="T60" s="21"/>
      <c r="U60" s="21"/>
      <c r="V60" s="21"/>
      <c r="W60" s="21"/>
      <c r="X60" s="31"/>
      <c r="Y60" s="17"/>
      <c r="Z60" s="23"/>
    </row>
    <row r="61" spans="1:26" x14ac:dyDescent="0.35">
      <c r="A61" s="8" t="s">
        <v>114</v>
      </c>
      <c r="B61" s="19">
        <v>110.000000017966</v>
      </c>
      <c r="C61" s="19">
        <v>109.999999971433</v>
      </c>
      <c r="D61" s="19">
        <v>109.99999962672101</v>
      </c>
      <c r="E61" s="19">
        <v>109.99999968698</v>
      </c>
      <c r="F61" s="19">
        <v>109.99999963547801</v>
      </c>
      <c r="G61" s="19">
        <v>110.000000095693</v>
      </c>
      <c r="H61" s="19">
        <v>109.99999957190001</v>
      </c>
      <c r="I61" s="19">
        <v>109.999999709657</v>
      </c>
      <c r="J61" s="44"/>
      <c r="K61" s="44"/>
      <c r="L61" s="44"/>
      <c r="M61" s="44"/>
      <c r="N61" s="44"/>
      <c r="O61" s="44"/>
      <c r="P61" s="32"/>
      <c r="R61" s="43"/>
      <c r="S61" s="21"/>
      <c r="T61" s="21"/>
      <c r="U61" s="21"/>
      <c r="V61" s="21"/>
      <c r="W61" s="21"/>
      <c r="X61" s="31"/>
      <c r="Y61" s="17"/>
      <c r="Z61" s="23"/>
    </row>
    <row r="62" spans="1:26" x14ac:dyDescent="0.35">
      <c r="A62" s="12"/>
      <c r="B62" s="20"/>
      <c r="C62" s="20"/>
      <c r="D62" s="19"/>
      <c r="E62" s="20"/>
      <c r="F62" s="19"/>
      <c r="G62" s="19"/>
      <c r="H62" s="19"/>
      <c r="I62" s="19"/>
      <c r="J62" s="44"/>
      <c r="K62" s="44"/>
      <c r="L62" s="44"/>
      <c r="M62" s="44"/>
      <c r="N62" s="44"/>
      <c r="O62" s="44"/>
      <c r="P62" s="32"/>
      <c r="R62" s="43"/>
      <c r="S62" s="21"/>
      <c r="T62" s="21"/>
      <c r="U62" s="21"/>
      <c r="V62" s="21"/>
      <c r="W62" s="21"/>
      <c r="X62" s="31"/>
      <c r="Y62" s="17"/>
      <c r="Z62" s="23"/>
    </row>
    <row r="63" spans="1:26" ht="15.5" x14ac:dyDescent="0.35">
      <c r="A63" s="45" t="s">
        <v>115</v>
      </c>
      <c r="B63" s="46">
        <v>2139.0825830713902</v>
      </c>
      <c r="C63" s="46">
        <v>2160.4035292849017</v>
      </c>
      <c r="D63" s="46">
        <v>2181.5318035009427</v>
      </c>
      <c r="E63" s="46">
        <v>2201.2226456156682</v>
      </c>
      <c r="F63" s="46">
        <v>2231.5729868694725</v>
      </c>
      <c r="G63" s="46">
        <v>2289.7627200697434</v>
      </c>
      <c r="H63" s="46">
        <v>2373.0512687429236</v>
      </c>
      <c r="I63" s="46">
        <v>2421.7015952873003</v>
      </c>
      <c r="J63" s="44"/>
      <c r="K63" s="44"/>
      <c r="L63" s="44"/>
      <c r="M63" s="44"/>
      <c r="N63" s="44"/>
      <c r="O63" s="44"/>
      <c r="P63" s="32"/>
      <c r="Q63" s="6"/>
      <c r="R63" s="43"/>
      <c r="S63" s="21"/>
      <c r="T63" s="21"/>
      <c r="U63" s="21"/>
      <c r="V63" s="21"/>
      <c r="W63" s="21"/>
      <c r="X63" s="31"/>
      <c r="Y63" s="17"/>
      <c r="Z63" s="17"/>
    </row>
    <row r="64" spans="1:26" x14ac:dyDescent="0.35">
      <c r="A64" s="13"/>
      <c r="B64" s="27">
        <v>2022</v>
      </c>
      <c r="C64" s="27">
        <v>2026</v>
      </c>
      <c r="D64" s="27">
        <v>2029</v>
      </c>
      <c r="E64" s="27">
        <v>2032</v>
      </c>
      <c r="F64" s="27">
        <v>2035</v>
      </c>
      <c r="G64" s="27">
        <v>2040</v>
      </c>
      <c r="H64" s="27">
        <v>2050</v>
      </c>
      <c r="I64" s="27">
        <v>2060</v>
      </c>
      <c r="J64" s="44"/>
      <c r="K64" s="44"/>
      <c r="L64" s="44"/>
      <c r="M64" s="44"/>
      <c r="N64" s="44"/>
      <c r="O64" s="44"/>
      <c r="P64" s="32"/>
      <c r="R64" s="43"/>
      <c r="T64" s="21"/>
      <c r="U64" s="21"/>
      <c r="V64" s="21"/>
      <c r="W64" s="21"/>
      <c r="X64" s="31"/>
      <c r="Y64" s="17"/>
      <c r="Z64" s="23"/>
    </row>
    <row r="65" spans="1:26" x14ac:dyDescent="0.35">
      <c r="A65" s="13"/>
      <c r="D65" s="4"/>
      <c r="J65" s="44"/>
      <c r="K65" s="44"/>
      <c r="L65" s="44"/>
      <c r="M65" s="44"/>
      <c r="N65" s="44"/>
      <c r="O65" s="44"/>
      <c r="P65" s="32"/>
      <c r="R65" s="43"/>
      <c r="S65" s="21"/>
      <c r="T65" s="21"/>
      <c r="U65" s="21"/>
      <c r="V65" s="21"/>
      <c r="W65" s="21"/>
      <c r="X65" s="31"/>
      <c r="Y65" s="17"/>
      <c r="Z65" s="23"/>
    </row>
    <row r="66" spans="1:26" x14ac:dyDescent="0.35">
      <c r="A66" s="13"/>
      <c r="J66" s="44"/>
      <c r="K66" s="44"/>
      <c r="L66" s="44"/>
      <c r="M66" s="44"/>
      <c r="N66" s="44"/>
      <c r="O66" s="44"/>
      <c r="P66" s="32"/>
      <c r="R66" s="43"/>
      <c r="S66" s="21"/>
      <c r="T66" s="21"/>
      <c r="U66" s="21"/>
      <c r="V66" s="21"/>
      <c r="W66" s="21"/>
      <c r="X66" s="31"/>
      <c r="Y66" s="17"/>
      <c r="Z66" s="23"/>
    </row>
    <row r="67" spans="1:26" ht="15.5" x14ac:dyDescent="0.35">
      <c r="A67" s="39" t="s">
        <v>116</v>
      </c>
      <c r="B67" s="39"/>
      <c r="M67" s="9"/>
      <c r="N67" s="9"/>
      <c r="O67" s="9"/>
      <c r="P67" s="32"/>
      <c r="R67" s="43"/>
      <c r="S67" s="21"/>
      <c r="T67" s="21"/>
      <c r="U67" s="21"/>
      <c r="V67" s="21"/>
      <c r="W67" s="21"/>
      <c r="X67" s="31"/>
      <c r="Y67" s="17"/>
      <c r="Z67" s="23"/>
    </row>
    <row r="68" spans="1:26" x14ac:dyDescent="0.35">
      <c r="B68" s="27">
        <v>2022</v>
      </c>
      <c r="C68" s="27">
        <v>2026</v>
      </c>
      <c r="D68" s="27">
        <v>2029</v>
      </c>
      <c r="E68" s="27">
        <v>2032</v>
      </c>
      <c r="F68" s="27">
        <v>2035</v>
      </c>
      <c r="G68" s="27">
        <v>2040</v>
      </c>
      <c r="H68" s="27">
        <v>2050</v>
      </c>
      <c r="I68" s="27">
        <v>2060</v>
      </c>
      <c r="M68" s="9"/>
      <c r="N68" s="9"/>
      <c r="O68" s="9"/>
      <c r="P68" s="32"/>
      <c r="R68" s="43"/>
      <c r="S68" s="21"/>
      <c r="T68" s="21"/>
      <c r="U68" s="21"/>
      <c r="V68" s="21"/>
      <c r="W68" s="21"/>
      <c r="X68" s="31"/>
      <c r="Y68" s="17"/>
      <c r="Z68" s="23"/>
    </row>
    <row r="69" spans="1:26" x14ac:dyDescent="0.35">
      <c r="A69" s="10" t="s">
        <v>93</v>
      </c>
      <c r="B69" s="19">
        <v>1677.4519827552554</v>
      </c>
      <c r="C69" s="19">
        <v>1698.5738152148897</v>
      </c>
      <c r="D69" s="19">
        <v>1712.874845988772</v>
      </c>
      <c r="E69" s="19">
        <v>1722.0550893584796</v>
      </c>
      <c r="F69" s="19">
        <v>1740.082158114064</v>
      </c>
      <c r="G69" s="19">
        <v>1777.6068503449039</v>
      </c>
      <c r="H69" s="19">
        <v>1828.1593787370605</v>
      </c>
      <c r="I69" s="19">
        <v>1843.4860717191523</v>
      </c>
      <c r="J69" s="44"/>
      <c r="K69" s="44"/>
      <c r="L69" s="44"/>
      <c r="M69" s="44"/>
      <c r="N69" s="44"/>
      <c r="O69" s="44"/>
      <c r="P69" s="32"/>
      <c r="R69" s="43"/>
      <c r="S69" s="21"/>
      <c r="T69" s="21"/>
      <c r="U69" s="21"/>
      <c r="V69" s="21"/>
      <c r="W69" s="21"/>
      <c r="X69" s="31"/>
      <c r="Y69" s="17"/>
      <c r="Z69" s="23"/>
    </row>
    <row r="70" spans="1:26" x14ac:dyDescent="0.35">
      <c r="A70" t="s">
        <v>94</v>
      </c>
      <c r="B70" s="19">
        <v>10.075454689165236</v>
      </c>
      <c r="C70" s="19">
        <v>9.7946610571673371</v>
      </c>
      <c r="D70" s="19">
        <v>9.8954722950601379</v>
      </c>
      <c r="E70" s="19">
        <v>10.134721984719963</v>
      </c>
      <c r="F70" s="19">
        <v>10.378379120297968</v>
      </c>
      <c r="G70" s="19">
        <v>10.610578095703332</v>
      </c>
      <c r="H70" s="19">
        <v>10.775624614839955</v>
      </c>
      <c r="I70" s="19">
        <v>10.784198786849229</v>
      </c>
      <c r="J70" s="44"/>
      <c r="K70" s="44"/>
      <c r="L70" s="44"/>
      <c r="M70" s="44"/>
      <c r="N70" s="44"/>
      <c r="O70" s="44"/>
      <c r="P70" s="32"/>
      <c r="R70" s="43"/>
      <c r="S70" s="21"/>
      <c r="T70" s="21"/>
      <c r="U70" s="21"/>
      <c r="V70" s="21"/>
      <c r="W70" s="21"/>
      <c r="X70" s="31"/>
      <c r="Y70" s="17"/>
      <c r="Z70" s="23"/>
    </row>
    <row r="71" spans="1:26" x14ac:dyDescent="0.35">
      <c r="A71" t="s">
        <v>95</v>
      </c>
      <c r="B71" s="19">
        <v>1.9138219421464899</v>
      </c>
      <c r="C71" s="19">
        <v>1.95667529796637</v>
      </c>
      <c r="D71" s="19">
        <v>1.9774893064957999</v>
      </c>
      <c r="E71" s="19">
        <v>1.98592115305733</v>
      </c>
      <c r="F71" s="19">
        <v>1.9846661760419799</v>
      </c>
      <c r="G71" s="19">
        <v>1.9861915174934901</v>
      </c>
      <c r="H71" s="19">
        <v>1.96646459575775</v>
      </c>
      <c r="I71" s="19">
        <v>1.93527596084819</v>
      </c>
      <c r="J71" s="44"/>
      <c r="K71" s="44"/>
      <c r="L71" s="44"/>
      <c r="M71" s="44"/>
      <c r="N71" s="44"/>
      <c r="O71" s="44"/>
      <c r="P71" s="32"/>
      <c r="R71" s="43"/>
      <c r="S71" s="21"/>
      <c r="T71" s="21"/>
      <c r="U71" s="21"/>
      <c r="V71" s="21"/>
      <c r="W71" s="21"/>
      <c r="X71" s="31"/>
      <c r="Y71" s="17"/>
      <c r="Z71" s="23"/>
    </row>
    <row r="72" spans="1:26" x14ac:dyDescent="0.35">
      <c r="A72" t="s">
        <v>96</v>
      </c>
      <c r="B72" s="19">
        <v>5.09471004048756</v>
      </c>
      <c r="C72" s="19">
        <v>4.8479267352304003</v>
      </c>
      <c r="D72" s="19">
        <v>4.66436261658371</v>
      </c>
      <c r="E72" s="19">
        <v>4.5112280107688898</v>
      </c>
      <c r="F72" s="19">
        <v>4.3779984348258401</v>
      </c>
      <c r="G72" s="19">
        <v>4.1489773991595502</v>
      </c>
      <c r="H72" s="19">
        <v>3.6322081293679198</v>
      </c>
      <c r="I72" s="19">
        <v>3.0980725765505102</v>
      </c>
      <c r="J72" s="44"/>
      <c r="K72" s="44"/>
      <c r="L72" s="44"/>
      <c r="M72" s="44"/>
      <c r="N72" s="44"/>
      <c r="O72" s="44"/>
      <c r="P72" s="32"/>
      <c r="R72" s="43"/>
      <c r="S72" s="21"/>
      <c r="T72" s="21"/>
      <c r="U72" s="21"/>
      <c r="V72" s="21"/>
      <c r="W72" s="21"/>
      <c r="X72" s="31"/>
      <c r="Y72" s="17"/>
      <c r="Z72" s="23"/>
    </row>
    <row r="73" spans="1:26" x14ac:dyDescent="0.35">
      <c r="A73" t="s">
        <v>70</v>
      </c>
      <c r="B73" s="19">
        <v>80.945549632413162</v>
      </c>
      <c r="C73" s="19">
        <v>79.23073116454276</v>
      </c>
      <c r="D73" s="19">
        <v>81.681291431257279</v>
      </c>
      <c r="E73" s="19">
        <v>84.20010214151857</v>
      </c>
      <c r="F73" s="19">
        <v>84.838405803938784</v>
      </c>
      <c r="G73" s="19">
        <v>86.355891409823926</v>
      </c>
      <c r="H73" s="19">
        <v>84.80210454496995</v>
      </c>
      <c r="I73" s="19">
        <v>82.065295726972806</v>
      </c>
      <c r="J73" s="44"/>
      <c r="K73" s="44"/>
      <c r="L73" s="44"/>
      <c r="M73" s="44"/>
      <c r="N73" s="44"/>
      <c r="O73" s="44"/>
      <c r="P73" s="32"/>
      <c r="Q73" s="6"/>
      <c r="R73" s="43"/>
      <c r="S73" s="21"/>
      <c r="T73" s="21"/>
      <c r="U73" s="21"/>
      <c r="V73" s="21"/>
      <c r="W73" s="21"/>
      <c r="X73" s="31"/>
      <c r="Y73" s="17"/>
      <c r="Z73" s="17"/>
    </row>
    <row r="74" spans="1:26" x14ac:dyDescent="0.35">
      <c r="A74" t="s">
        <v>74</v>
      </c>
      <c r="B74" s="19">
        <v>134.34953747164701</v>
      </c>
      <c r="C74" s="19">
        <v>128.12107363606199</v>
      </c>
      <c r="D74" s="19">
        <v>129.31390907956799</v>
      </c>
      <c r="E74" s="19">
        <v>117.84992159333015</v>
      </c>
      <c r="F74" s="19">
        <v>125.29545422506439</v>
      </c>
      <c r="G74" s="19">
        <v>138.60408414139607</v>
      </c>
      <c r="H74" s="19">
        <v>158.81668340805533</v>
      </c>
      <c r="I74" s="19">
        <v>176.14099129101686</v>
      </c>
      <c r="J74" s="44"/>
      <c r="K74" s="44"/>
      <c r="L74" s="44"/>
      <c r="M74" s="44"/>
      <c r="N74" s="44"/>
      <c r="O74" s="44"/>
      <c r="P74" s="32"/>
      <c r="S74" s="21"/>
    </row>
    <row r="75" spans="1:26" x14ac:dyDescent="0.35">
      <c r="A75" t="s">
        <v>97</v>
      </c>
      <c r="B75" s="19">
        <v>38.867767257317311</v>
      </c>
      <c r="C75" s="19">
        <v>37.244870265945067</v>
      </c>
      <c r="D75" s="19">
        <v>36.746566546415707</v>
      </c>
      <c r="E75" s="19">
        <v>37.294275830787868</v>
      </c>
      <c r="F75" s="19">
        <v>36.98529852928376</v>
      </c>
      <c r="G75" s="19">
        <v>36.855663833365831</v>
      </c>
      <c r="H75" s="19">
        <v>36.270527297968556</v>
      </c>
      <c r="I75" s="19">
        <v>34.379423408015271</v>
      </c>
      <c r="J75" s="44"/>
      <c r="K75" s="44"/>
      <c r="L75" s="44"/>
      <c r="M75" s="44"/>
      <c r="N75" s="44"/>
      <c r="O75" s="44"/>
      <c r="P75" s="32"/>
    </row>
    <row r="76" spans="1:26" x14ac:dyDescent="0.35">
      <c r="A76" t="s">
        <v>98</v>
      </c>
      <c r="B76" s="19">
        <v>126.02399361644899</v>
      </c>
      <c r="C76" s="19">
        <v>114.00979103997989</v>
      </c>
      <c r="D76" s="19">
        <v>111.20075779586091</v>
      </c>
      <c r="E76" s="19">
        <v>112.44472346711228</v>
      </c>
      <c r="F76" s="19">
        <v>111.8359678263827</v>
      </c>
      <c r="G76" s="19">
        <v>112.26345533004482</v>
      </c>
      <c r="H76" s="19">
        <v>111.83272684683726</v>
      </c>
      <c r="I76" s="19">
        <v>107.35394034689591</v>
      </c>
      <c r="J76" s="44"/>
      <c r="K76" s="44"/>
      <c r="L76" s="44"/>
      <c r="M76" s="44"/>
      <c r="N76" s="44"/>
      <c r="O76" s="44"/>
      <c r="P76" s="32"/>
    </row>
    <row r="77" spans="1:26" x14ac:dyDescent="0.35">
      <c r="A77" t="s">
        <v>99</v>
      </c>
      <c r="B77" s="19">
        <v>70.394867565254003</v>
      </c>
      <c r="C77" s="19">
        <v>75.708779674943173</v>
      </c>
      <c r="D77" s="19">
        <v>77.480675311938413</v>
      </c>
      <c r="E77" s="19">
        <v>78.345087184814631</v>
      </c>
      <c r="F77" s="19">
        <v>79.093201747795959</v>
      </c>
      <c r="G77" s="19">
        <v>80.966784969866296</v>
      </c>
      <c r="H77" s="19">
        <v>83.69867516244868</v>
      </c>
      <c r="I77" s="19">
        <v>84.597717378201565</v>
      </c>
      <c r="J77" s="44"/>
      <c r="K77" s="44"/>
      <c r="L77" s="44"/>
      <c r="M77" s="44"/>
      <c r="N77" s="44"/>
      <c r="O77" s="44"/>
      <c r="P77" s="32"/>
    </row>
    <row r="78" spans="1:26" x14ac:dyDescent="0.35">
      <c r="A78" t="s">
        <v>100</v>
      </c>
      <c r="B78" s="19">
        <v>23.851624386961383</v>
      </c>
      <c r="C78" s="19">
        <v>23.066570984677806</v>
      </c>
      <c r="D78" s="19">
        <v>22.495604498709206</v>
      </c>
      <c r="E78" s="19">
        <v>22.268524224371589</v>
      </c>
      <c r="F78" s="19">
        <v>21.840297467925339</v>
      </c>
      <c r="G78" s="19">
        <v>21.48583467966392</v>
      </c>
      <c r="H78" s="19">
        <v>20.966102004035299</v>
      </c>
      <c r="I78" s="19">
        <v>20.051418687724912</v>
      </c>
      <c r="J78" s="44"/>
      <c r="K78" s="44"/>
      <c r="L78" s="44"/>
      <c r="M78" s="44"/>
      <c r="N78" s="44"/>
      <c r="O78" s="44"/>
      <c r="P78" s="32"/>
    </row>
    <row r="79" spans="1:26" x14ac:dyDescent="0.35">
      <c r="A79" t="s">
        <v>101</v>
      </c>
      <c r="B79" s="19">
        <v>85.682531173556384</v>
      </c>
      <c r="C79" s="19">
        <v>85.081904419066959</v>
      </c>
      <c r="D79" s="19">
        <v>83.978658171816619</v>
      </c>
      <c r="E79" s="19">
        <v>83.747754019326692</v>
      </c>
      <c r="F79" s="19">
        <v>83.021617655046398</v>
      </c>
      <c r="G79" s="19">
        <v>81.840943693570907</v>
      </c>
      <c r="H79" s="19">
        <v>78.181830119595048</v>
      </c>
      <c r="I79" s="19">
        <v>72.959908470041043</v>
      </c>
      <c r="J79" s="44"/>
      <c r="K79" s="44"/>
      <c r="L79" s="44"/>
      <c r="M79" s="44"/>
      <c r="N79" s="44"/>
      <c r="O79" s="44"/>
      <c r="P79" s="32"/>
    </row>
    <row r="80" spans="1:26" x14ac:dyDescent="0.35">
      <c r="A80" t="s">
        <v>102</v>
      </c>
      <c r="B80" s="19">
        <v>101.50725340104634</v>
      </c>
      <c r="C80" s="19">
        <v>102.23553214748533</v>
      </c>
      <c r="D80" s="19">
        <v>102.59809417148399</v>
      </c>
      <c r="E80" s="19">
        <v>103.7143716365816</v>
      </c>
      <c r="F80" s="19">
        <v>104.63708895304225</v>
      </c>
      <c r="G80" s="19">
        <v>105.74116366987941</v>
      </c>
      <c r="H80" s="19">
        <v>105.10681555485986</v>
      </c>
      <c r="I80" s="19">
        <v>101.64275812448818</v>
      </c>
      <c r="J80" s="44"/>
      <c r="K80" s="44"/>
      <c r="L80" s="44"/>
      <c r="M80" s="44"/>
      <c r="N80" s="44"/>
      <c r="O80" s="44"/>
      <c r="P80" s="32"/>
    </row>
    <row r="81" spans="1:17" x14ac:dyDescent="0.35">
      <c r="A81" t="s">
        <v>103</v>
      </c>
      <c r="B81" s="19">
        <v>203.14685624817176</v>
      </c>
      <c r="C81" s="19">
        <v>207.63428892192121</v>
      </c>
      <c r="D81" s="19">
        <v>210.69144983812197</v>
      </c>
      <c r="E81" s="19">
        <v>216.02619069293138</v>
      </c>
      <c r="F81" s="19">
        <v>219.26486259501149</v>
      </c>
      <c r="G81" s="19">
        <v>225.66787264360619</v>
      </c>
      <c r="H81" s="19">
        <v>240.96711155639645</v>
      </c>
      <c r="I81" s="19">
        <v>254.88980188378878</v>
      </c>
      <c r="J81" s="44"/>
      <c r="K81" s="44"/>
      <c r="L81" s="44"/>
      <c r="M81" s="44"/>
      <c r="N81" s="44"/>
      <c r="O81" s="44"/>
      <c r="P81" s="32"/>
    </row>
    <row r="82" spans="1:17" x14ac:dyDescent="0.35">
      <c r="A82" t="s">
        <v>104</v>
      </c>
      <c r="B82" s="19">
        <v>23.555043763713595</v>
      </c>
      <c r="C82" s="19">
        <v>23.030226078271397</v>
      </c>
      <c r="D82" s="19">
        <v>22.640452536811438</v>
      </c>
      <c r="E82" s="19">
        <v>22.660235918739922</v>
      </c>
      <c r="F82" s="19">
        <v>22.662982219129383</v>
      </c>
      <c r="G82" s="19">
        <v>22.931354148178947</v>
      </c>
      <c r="H82" s="19">
        <v>23.293633511823458</v>
      </c>
      <c r="I82" s="19">
        <v>23.15850529842319</v>
      </c>
      <c r="J82" s="44"/>
      <c r="K82" s="44"/>
      <c r="L82" s="44"/>
      <c r="M82" s="44"/>
      <c r="N82" s="44"/>
      <c r="O82" s="44"/>
      <c r="P82" s="32"/>
    </row>
    <row r="83" spans="1:17" x14ac:dyDescent="0.35">
      <c r="A83" t="s">
        <v>105</v>
      </c>
      <c r="B83" s="19">
        <v>110.43753960606779</v>
      </c>
      <c r="C83" s="19">
        <v>111.72484619957106</v>
      </c>
      <c r="D83" s="19">
        <v>112.65825695696202</v>
      </c>
      <c r="E83" s="19">
        <v>114.69473877520724</v>
      </c>
      <c r="F83" s="19">
        <v>115.8719306291693</v>
      </c>
      <c r="G83" s="19">
        <v>118.57020189371428</v>
      </c>
      <c r="H83" s="19">
        <v>123.09886202292338</v>
      </c>
      <c r="I83" s="19">
        <v>125.13807294057185</v>
      </c>
      <c r="J83" s="44"/>
      <c r="K83" s="44"/>
      <c r="L83" s="44"/>
      <c r="M83" s="44"/>
      <c r="N83" s="44"/>
      <c r="O83" s="44"/>
      <c r="P83" s="32"/>
      <c r="Q83" s="19"/>
    </row>
    <row r="84" spans="1:17" x14ac:dyDescent="0.35">
      <c r="A84" t="s">
        <v>106</v>
      </c>
      <c r="B84" s="19">
        <v>147.35280256665692</v>
      </c>
      <c r="C84" s="19">
        <v>150.74721837106321</v>
      </c>
      <c r="D84" s="19">
        <v>151.94007825187654</v>
      </c>
      <c r="E84" s="19">
        <v>153.09182144877281</v>
      </c>
      <c r="F84" s="19">
        <v>154.66161443010148</v>
      </c>
      <c r="G84" s="19">
        <v>157.97340052090917</v>
      </c>
      <c r="H84" s="19">
        <v>164.18147418931434</v>
      </c>
      <c r="I84" s="19">
        <v>169.07032134005317</v>
      </c>
      <c r="J84" s="44"/>
      <c r="K84" s="44"/>
      <c r="L84" s="44"/>
      <c r="M84" s="44"/>
      <c r="N84" s="44"/>
      <c r="O84" s="44"/>
      <c r="P84" s="32"/>
    </row>
    <row r="85" spans="1:17" x14ac:dyDescent="0.35">
      <c r="A85" t="s">
        <v>107</v>
      </c>
      <c r="B85" s="19">
        <v>191.60044599581204</v>
      </c>
      <c r="C85" s="19">
        <v>202.51850019490908</v>
      </c>
      <c r="D85" s="19">
        <v>207.04396622045255</v>
      </c>
      <c r="E85" s="19">
        <v>212.73173103858957</v>
      </c>
      <c r="F85" s="19">
        <v>215.62806032561377</v>
      </c>
      <c r="G85" s="19">
        <v>220.759451988818</v>
      </c>
      <c r="H85" s="19">
        <v>226.79268522617087</v>
      </c>
      <c r="I85" s="19">
        <v>224.94032786504172</v>
      </c>
      <c r="J85" s="44"/>
      <c r="K85" s="44"/>
      <c r="L85" s="44"/>
      <c r="M85" s="44"/>
      <c r="N85" s="44"/>
      <c r="O85" s="44"/>
      <c r="P85" s="32"/>
    </row>
    <row r="86" spans="1:17" x14ac:dyDescent="0.35">
      <c r="A86" t="s">
        <v>108</v>
      </c>
      <c r="B86" s="19">
        <v>51.786038037768279</v>
      </c>
      <c r="C86" s="19">
        <v>58.728565597464964</v>
      </c>
      <c r="D86" s="19">
        <v>61.65832012902122</v>
      </c>
      <c r="E86" s="19">
        <v>62.566877933078104</v>
      </c>
      <c r="F86" s="19">
        <v>63.395695077257791</v>
      </c>
      <c r="G86" s="19">
        <v>65.34909968046513</v>
      </c>
      <c r="H86" s="19">
        <v>68.611099101359528</v>
      </c>
      <c r="I86" s="19">
        <v>70.504354446595343</v>
      </c>
      <c r="J86" s="44"/>
      <c r="K86" s="44"/>
      <c r="L86" s="44"/>
      <c r="M86" s="44"/>
      <c r="N86" s="44"/>
      <c r="O86" s="44"/>
      <c r="P86" s="32"/>
    </row>
    <row r="87" spans="1:17" x14ac:dyDescent="0.35">
      <c r="A87" t="s">
        <v>109</v>
      </c>
      <c r="B87" s="19">
        <v>19.202969667546299</v>
      </c>
      <c r="C87" s="19">
        <v>19.855301210198</v>
      </c>
      <c r="D87" s="19">
        <v>19.6691810262666</v>
      </c>
      <c r="E87" s="19">
        <v>19.138656347280001</v>
      </c>
      <c r="F87" s="19">
        <v>18.822747894692</v>
      </c>
      <c r="G87" s="19">
        <v>18.477851906877302</v>
      </c>
      <c r="H87" s="19">
        <v>17.769223653892801</v>
      </c>
      <c r="I87" s="19">
        <v>16.990913242033699</v>
      </c>
      <c r="J87" s="44"/>
      <c r="K87" s="44"/>
      <c r="L87" s="44"/>
      <c r="M87" s="44"/>
      <c r="N87" s="44"/>
      <c r="O87" s="44"/>
      <c r="P87" s="32"/>
    </row>
    <row r="88" spans="1:17" x14ac:dyDescent="0.35">
      <c r="A88" t="s">
        <v>110</v>
      </c>
      <c r="B88" s="19">
        <v>142.58876406162699</v>
      </c>
      <c r="C88" s="19">
        <v>148.398319244959</v>
      </c>
      <c r="D88" s="19">
        <v>149.52961236902399</v>
      </c>
      <c r="E88" s="19">
        <v>149.912100602332</v>
      </c>
      <c r="F88" s="19">
        <v>150.982683561546</v>
      </c>
      <c r="G88" s="19">
        <v>152.58935826278</v>
      </c>
      <c r="H88" s="19">
        <v>154.514419722159</v>
      </c>
      <c r="I88" s="19">
        <v>155.00046890112301</v>
      </c>
      <c r="J88" s="44"/>
      <c r="K88" s="44"/>
      <c r="L88" s="44"/>
      <c r="M88" s="44"/>
      <c r="N88" s="44"/>
      <c r="O88" s="44"/>
      <c r="P88" s="32"/>
    </row>
    <row r="89" spans="1:17" x14ac:dyDescent="0.35">
      <c r="A89" t="s">
        <v>111</v>
      </c>
      <c r="B89" s="19">
        <v>109.0744116314479</v>
      </c>
      <c r="C89" s="19">
        <v>114.63803297346473</v>
      </c>
      <c r="D89" s="19">
        <v>115.0106474350458</v>
      </c>
      <c r="E89" s="19">
        <v>114.73610535515886</v>
      </c>
      <c r="F89" s="19">
        <v>114.50320544189746</v>
      </c>
      <c r="G89" s="19">
        <v>114.42869055958717</v>
      </c>
      <c r="H89" s="19">
        <v>112.88110747428487</v>
      </c>
      <c r="I89" s="19">
        <v>108.784305043917</v>
      </c>
      <c r="J89" s="44"/>
      <c r="K89" s="44"/>
      <c r="L89" s="44"/>
      <c r="M89" s="44"/>
      <c r="N89" s="44"/>
      <c r="O89" s="44"/>
      <c r="P89" s="32"/>
    </row>
    <row r="90" spans="1:17" x14ac:dyDescent="0.35">
      <c r="B90" s="19"/>
      <c r="C90" s="19"/>
      <c r="D90" s="19"/>
      <c r="E90" s="19"/>
      <c r="F90" s="19"/>
      <c r="G90" s="19"/>
      <c r="H90" s="19"/>
      <c r="I90" s="19"/>
      <c r="J90" s="44"/>
      <c r="K90" s="44"/>
      <c r="L90" s="44"/>
      <c r="M90" s="44"/>
      <c r="N90" s="44"/>
      <c r="O90" s="44"/>
    </row>
    <row r="91" spans="1:17" x14ac:dyDescent="0.35">
      <c r="B91" s="19"/>
      <c r="C91" s="19"/>
      <c r="D91" s="19"/>
      <c r="E91" s="19"/>
      <c r="F91" s="19"/>
      <c r="G91" s="19"/>
      <c r="H91" s="19"/>
      <c r="I91" s="19"/>
      <c r="J91" s="44"/>
      <c r="K91" s="44"/>
      <c r="L91" s="44"/>
      <c r="M91" s="44"/>
      <c r="N91" s="44"/>
      <c r="O91" s="44"/>
    </row>
    <row r="92" spans="1:17" x14ac:dyDescent="0.35">
      <c r="A92" t="s">
        <v>112</v>
      </c>
      <c r="B92" s="19">
        <v>73.397775208213986</v>
      </c>
      <c r="C92" s="19">
        <v>72.345096356238841</v>
      </c>
      <c r="D92" s="19">
        <v>73.12896062610325</v>
      </c>
      <c r="E92" s="19">
        <v>74.021475195653068</v>
      </c>
      <c r="F92" s="19">
        <v>74.771571225609421</v>
      </c>
      <c r="G92" s="19">
        <v>76.387218016687186</v>
      </c>
      <c r="H92" s="19">
        <v>75.655405788395512</v>
      </c>
      <c r="I92" s="19">
        <v>70.602050438603584</v>
      </c>
      <c r="J92" s="44"/>
      <c r="K92" s="44"/>
      <c r="L92" s="44"/>
      <c r="M92" s="44"/>
      <c r="N92" s="44"/>
      <c r="O92" s="44"/>
    </row>
    <row r="93" spans="1:17" x14ac:dyDescent="0.35">
      <c r="A93" t="s">
        <v>113</v>
      </c>
      <c r="B93" s="19">
        <v>44.128740008151098</v>
      </c>
      <c r="C93" s="19">
        <v>42.378668948342792</v>
      </c>
      <c r="D93" s="19">
        <v>42.433912285938511</v>
      </c>
      <c r="E93" s="19">
        <v>44.956099227446799</v>
      </c>
      <c r="F93" s="19">
        <v>45.940585301950833</v>
      </c>
      <c r="G93" s="19">
        <v>47.496421910926777</v>
      </c>
      <c r="H93" s="19">
        <v>53.07380625956921</v>
      </c>
      <c r="I93" s="19">
        <v>59.478755831662859</v>
      </c>
      <c r="J93" s="44"/>
      <c r="K93" s="44"/>
      <c r="L93" s="44"/>
      <c r="M93" s="44"/>
      <c r="N93" s="44"/>
      <c r="O93" s="44"/>
    </row>
    <row r="94" spans="1:17" x14ac:dyDescent="0.35">
      <c r="A94" t="s">
        <v>114</v>
      </c>
      <c r="B94" s="19">
        <v>110.000000017966</v>
      </c>
      <c r="C94" s="19">
        <v>109.999999971433</v>
      </c>
      <c r="D94" s="19">
        <v>109.99999962672101</v>
      </c>
      <c r="E94" s="19">
        <v>109.99999968698</v>
      </c>
      <c r="F94" s="19">
        <v>109.99999963547801</v>
      </c>
      <c r="G94" s="19">
        <v>110.000000095693</v>
      </c>
      <c r="H94" s="19">
        <v>109.99999957190001</v>
      </c>
      <c r="I94" s="19">
        <v>109.999999709657</v>
      </c>
      <c r="J94" s="44"/>
      <c r="K94" s="44"/>
      <c r="L94" s="44"/>
      <c r="M94" s="44"/>
      <c r="N94" s="44"/>
      <c r="O94" s="44"/>
    </row>
    <row r="95" spans="1:17" x14ac:dyDescent="0.35">
      <c r="B95" s="19"/>
      <c r="C95" s="19"/>
      <c r="D95" s="19"/>
      <c r="E95" s="19"/>
      <c r="F95" s="19"/>
      <c r="G95" s="19"/>
      <c r="H95" s="19"/>
      <c r="I95" s="19"/>
      <c r="J95" s="44"/>
      <c r="K95" s="44"/>
      <c r="L95" s="44"/>
      <c r="M95" s="44"/>
      <c r="N95" s="44"/>
      <c r="O95" s="44"/>
    </row>
    <row r="96" spans="1:17" ht="15.5" x14ac:dyDescent="0.35">
      <c r="A96" s="45" t="s">
        <v>115</v>
      </c>
      <c r="B96" s="46">
        <v>1904.9784979895867</v>
      </c>
      <c r="C96" s="46">
        <v>1923.2975804909045</v>
      </c>
      <c r="D96" s="46">
        <v>1938.4377185275343</v>
      </c>
      <c r="E96" s="46">
        <v>1951.0326634685591</v>
      </c>
      <c r="F96" s="46">
        <v>1970.7943142771023</v>
      </c>
      <c r="G96" s="46">
        <v>2011.4904903682107</v>
      </c>
      <c r="H96" s="46">
        <v>2066.8885903569253</v>
      </c>
      <c r="I96" s="46">
        <v>2083.5668776990756</v>
      </c>
      <c r="J96"/>
      <c r="K96"/>
      <c r="L96"/>
    </row>
    <row r="97" spans="1:12" x14ac:dyDescent="0.35">
      <c r="A97" s="13"/>
      <c r="B97" s="27">
        <v>2022</v>
      </c>
      <c r="C97" s="27">
        <v>2026</v>
      </c>
      <c r="D97" s="27">
        <v>2029</v>
      </c>
      <c r="E97" s="27">
        <v>2032</v>
      </c>
      <c r="F97" s="27">
        <v>2035</v>
      </c>
      <c r="G97" s="27">
        <v>2040</v>
      </c>
      <c r="H97" s="27">
        <v>2050</v>
      </c>
      <c r="I97" s="27">
        <v>2060</v>
      </c>
      <c r="J97"/>
      <c r="K97"/>
      <c r="L97"/>
    </row>
    <row r="98" spans="1:12" x14ac:dyDescent="0.35">
      <c r="A98" s="13"/>
      <c r="D98" s="4"/>
      <c r="J98"/>
      <c r="K98"/>
      <c r="L98"/>
    </row>
    <row r="99" spans="1:12" x14ac:dyDescent="0.35">
      <c r="J99"/>
      <c r="K99"/>
      <c r="L99"/>
    </row>
    <row r="100" spans="1:12" x14ac:dyDescent="0.35">
      <c r="J100"/>
      <c r="K100"/>
      <c r="L100"/>
    </row>
    <row r="101" spans="1:12" ht="45" customHeight="1" x14ac:dyDescent="0.45">
      <c r="A101" s="39" t="s">
        <v>117</v>
      </c>
      <c r="B101" s="39"/>
      <c r="C101" s="87"/>
      <c r="D101" s="87"/>
      <c r="E101" s="87"/>
      <c r="F101" s="87"/>
      <c r="G101" s="87"/>
      <c r="H101" s="87"/>
      <c r="I101" s="87"/>
      <c r="J101"/>
      <c r="K101"/>
      <c r="L101"/>
    </row>
    <row r="102" spans="1:12" x14ac:dyDescent="0.35">
      <c r="B102" s="27">
        <v>2022</v>
      </c>
      <c r="C102" s="27">
        <v>2026</v>
      </c>
      <c r="D102" s="27">
        <v>2029</v>
      </c>
      <c r="E102" s="27">
        <v>2032</v>
      </c>
      <c r="F102" s="27">
        <v>2035</v>
      </c>
      <c r="G102" s="27">
        <v>2040</v>
      </c>
      <c r="H102" s="27">
        <v>2050</v>
      </c>
      <c r="I102" s="27">
        <v>2060</v>
      </c>
      <c r="J102"/>
      <c r="K102"/>
      <c r="L102"/>
    </row>
    <row r="103" spans="1:12" x14ac:dyDescent="0.35">
      <c r="A103" t="s">
        <v>94</v>
      </c>
      <c r="B103" s="19">
        <v>0</v>
      </c>
      <c r="C103" s="19">
        <v>0</v>
      </c>
      <c r="D103" s="19">
        <v>0</v>
      </c>
      <c r="E103" s="19">
        <v>0</v>
      </c>
      <c r="F103" s="19">
        <v>0</v>
      </c>
      <c r="G103" s="19">
        <v>0</v>
      </c>
      <c r="H103" s="19">
        <v>0</v>
      </c>
      <c r="I103" s="19">
        <v>0</v>
      </c>
      <c r="J103"/>
      <c r="K103"/>
      <c r="L103"/>
    </row>
    <row r="104" spans="1:12" x14ac:dyDescent="0.35">
      <c r="A104" t="s">
        <v>95</v>
      </c>
      <c r="B104" s="19">
        <v>0</v>
      </c>
      <c r="C104" s="19">
        <v>0</v>
      </c>
      <c r="D104" s="19">
        <v>0</v>
      </c>
      <c r="E104" s="19">
        <v>0</v>
      </c>
      <c r="F104" s="19">
        <v>0</v>
      </c>
      <c r="G104" s="19">
        <v>0</v>
      </c>
      <c r="H104" s="19">
        <v>0</v>
      </c>
      <c r="I104" s="19">
        <v>0</v>
      </c>
      <c r="J104"/>
      <c r="K104" s="19"/>
      <c r="L104"/>
    </row>
    <row r="105" spans="1:12" x14ac:dyDescent="0.35">
      <c r="A105" t="s">
        <v>96</v>
      </c>
      <c r="B105" s="19">
        <v>0</v>
      </c>
      <c r="C105" s="19">
        <v>0</v>
      </c>
      <c r="D105" s="19">
        <v>0</v>
      </c>
      <c r="E105" s="19">
        <v>0</v>
      </c>
      <c r="F105" s="19">
        <v>0</v>
      </c>
      <c r="G105" s="19">
        <v>0</v>
      </c>
      <c r="H105" s="19">
        <v>0</v>
      </c>
      <c r="I105" s="19">
        <v>0</v>
      </c>
      <c r="J105"/>
      <c r="K105" s="19"/>
      <c r="L105"/>
    </row>
    <row r="106" spans="1:12" x14ac:dyDescent="0.35">
      <c r="A106" t="s">
        <v>70</v>
      </c>
      <c r="B106" s="19">
        <v>19.299921909353841</v>
      </c>
      <c r="C106" s="19">
        <v>19.123668722340643</v>
      </c>
      <c r="D106" s="19">
        <v>20.096234044849716</v>
      </c>
      <c r="E106" s="19">
        <v>19.656224623723428</v>
      </c>
      <c r="F106" s="19">
        <v>20.466762991396219</v>
      </c>
      <c r="G106" s="19">
        <v>21.775599457979062</v>
      </c>
      <c r="H106" s="19">
        <v>22.938527576435057</v>
      </c>
      <c r="I106" s="19">
        <v>24.526414475854196</v>
      </c>
      <c r="J106"/>
      <c r="K106" s="19"/>
      <c r="L106"/>
    </row>
    <row r="107" spans="1:12" x14ac:dyDescent="0.35">
      <c r="A107" t="s">
        <v>74</v>
      </c>
      <c r="B107" s="19">
        <v>0</v>
      </c>
      <c r="C107" s="19">
        <v>0</v>
      </c>
      <c r="D107" s="19">
        <v>0</v>
      </c>
      <c r="E107" s="19">
        <v>15.456751564615846</v>
      </c>
      <c r="F107" s="19">
        <v>16.93526806943462</v>
      </c>
      <c r="G107" s="19">
        <v>19.506433797517928</v>
      </c>
      <c r="H107" s="19">
        <v>23.821984452210682</v>
      </c>
      <c r="I107" s="19">
        <v>28.904080391781147</v>
      </c>
      <c r="J107"/>
      <c r="K107" s="19"/>
      <c r="L107"/>
    </row>
    <row r="108" spans="1:12" x14ac:dyDescent="0.35">
      <c r="A108" t="s">
        <v>97</v>
      </c>
      <c r="B108" s="19">
        <v>14.296740436326589</v>
      </c>
      <c r="C108" s="19">
        <v>13.886346322075033</v>
      </c>
      <c r="D108" s="19">
        <v>13.994030338866992</v>
      </c>
      <c r="E108" s="19">
        <v>13.401917728238937</v>
      </c>
      <c r="F108" s="19">
        <v>13.78181388309774</v>
      </c>
      <c r="G108" s="19">
        <v>14.424084631869468</v>
      </c>
      <c r="H108" s="19">
        <v>15.351233571074449</v>
      </c>
      <c r="I108" s="19">
        <v>16.282260619002727</v>
      </c>
      <c r="J108"/>
      <c r="K108" s="19"/>
      <c r="L108"/>
    </row>
    <row r="109" spans="1:12" x14ac:dyDescent="0.35">
      <c r="A109" t="s">
        <v>98</v>
      </c>
      <c r="B109" s="19">
        <v>47.211143966191997</v>
      </c>
      <c r="C109" s="19">
        <v>43.294914030430107</v>
      </c>
      <c r="D109" s="19">
        <v>43.137384666466097</v>
      </c>
      <c r="E109" s="19">
        <v>41.14888111327172</v>
      </c>
      <c r="F109" s="19">
        <v>42.445409642637287</v>
      </c>
      <c r="G109" s="19">
        <v>44.761460390713182</v>
      </c>
      <c r="H109" s="19">
        <v>48.242196008990739</v>
      </c>
      <c r="I109" s="19">
        <v>51.85592008447707</v>
      </c>
      <c r="J109"/>
      <c r="K109" s="19"/>
      <c r="L109"/>
    </row>
    <row r="110" spans="1:12" x14ac:dyDescent="0.35">
      <c r="A110" t="s">
        <v>99</v>
      </c>
      <c r="B110" s="19">
        <v>10.420932764519694</v>
      </c>
      <c r="C110" s="19">
        <v>11.335394979436028</v>
      </c>
      <c r="D110" s="19">
        <v>11.808073776431181</v>
      </c>
      <c r="E110" s="19">
        <v>11.372749349742977</v>
      </c>
      <c r="F110" s="19">
        <v>11.836545837211546</v>
      </c>
      <c r="G110" s="19">
        <v>12.623111636133498</v>
      </c>
      <c r="H110" s="19">
        <v>13.919970798289523</v>
      </c>
      <c r="I110" s="19">
        <v>15.412560477938435</v>
      </c>
      <c r="J110"/>
      <c r="K110" s="19"/>
      <c r="L110"/>
    </row>
    <row r="111" spans="1:12" x14ac:dyDescent="0.35">
      <c r="A111" t="s">
        <v>100</v>
      </c>
      <c r="B111" s="19">
        <v>5.4552243574322166</v>
      </c>
      <c r="C111" s="19">
        <v>5.340116282302195</v>
      </c>
      <c r="D111" s="19">
        <v>5.3077837654555911</v>
      </c>
      <c r="E111" s="19">
        <v>4.9874922832993098</v>
      </c>
      <c r="F111" s="19">
        <v>5.0536724707995608</v>
      </c>
      <c r="G111" s="19">
        <v>5.1947696699434784</v>
      </c>
      <c r="H111" s="19">
        <v>5.4343890686318037</v>
      </c>
      <c r="I111" s="19">
        <v>5.7370543761456894</v>
      </c>
      <c r="J111"/>
      <c r="K111" s="19"/>
      <c r="L111"/>
    </row>
    <row r="112" spans="1:12" x14ac:dyDescent="0.35">
      <c r="A112" t="s">
        <v>101</v>
      </c>
      <c r="B112" s="19">
        <v>10.369973414043717</v>
      </c>
      <c r="C112" s="19">
        <v>10.411921175779042</v>
      </c>
      <c r="D112" s="19">
        <v>10.45618385678177</v>
      </c>
      <c r="E112" s="19">
        <v>9.9436301871533068</v>
      </c>
      <c r="F112" s="19">
        <v>10.155121924481204</v>
      </c>
      <c r="G112" s="19">
        <v>10.418546641411195</v>
      </c>
      <c r="H112" s="19">
        <v>10.59951237665984</v>
      </c>
      <c r="I112" s="19">
        <v>10.808603751437158</v>
      </c>
      <c r="J112"/>
      <c r="K112" s="19"/>
      <c r="L112"/>
    </row>
    <row r="113" spans="1:12" x14ac:dyDescent="0.35">
      <c r="A113" t="s">
        <v>102</v>
      </c>
      <c r="B113" s="19">
        <v>6.693171728832648</v>
      </c>
      <c r="C113" s="19">
        <v>6.8125158715776708</v>
      </c>
      <c r="D113" s="19">
        <v>6.9499150147130182</v>
      </c>
      <c r="E113" s="19">
        <v>6.715295422281403</v>
      </c>
      <c r="F113" s="19">
        <v>6.9694982263507477</v>
      </c>
      <c r="G113" s="19">
        <v>7.3151810735665865</v>
      </c>
      <c r="H113" s="19">
        <v>7.7179635245821352</v>
      </c>
      <c r="I113" s="19">
        <v>8.1143855970318164</v>
      </c>
      <c r="J113"/>
      <c r="K113" s="19"/>
      <c r="L113"/>
    </row>
    <row r="114" spans="1:12" x14ac:dyDescent="0.35">
      <c r="A114" t="s">
        <v>103</v>
      </c>
      <c r="B114" s="19">
        <v>33.405577450379234</v>
      </c>
      <c r="C114" s="19">
        <v>34.538505940227779</v>
      </c>
      <c r="D114" s="19">
        <v>35.682795738700023</v>
      </c>
      <c r="E114" s="19">
        <v>34.824344860921627</v>
      </c>
      <c r="F114" s="19">
        <v>36.455744587352505</v>
      </c>
      <c r="G114" s="19">
        <v>39.111328746450795</v>
      </c>
      <c r="H114" s="19">
        <v>44.595147043643586</v>
      </c>
      <c r="I114" s="19">
        <v>51.754240337615229</v>
      </c>
      <c r="J114"/>
      <c r="K114" s="19"/>
      <c r="L114"/>
    </row>
    <row r="115" spans="1:12" x14ac:dyDescent="0.35">
      <c r="A115" t="s">
        <v>104</v>
      </c>
      <c r="B115" s="19">
        <v>5.6477375807141028</v>
      </c>
      <c r="C115" s="19">
        <v>5.5899708070716034</v>
      </c>
      <c r="D115" s="19">
        <v>5.6017039273214628</v>
      </c>
      <c r="E115" s="19">
        <v>5.3194916816807778</v>
      </c>
      <c r="F115" s="19">
        <v>5.4980320667897207</v>
      </c>
      <c r="G115" s="19">
        <v>5.8151759932491505</v>
      </c>
      <c r="H115" s="19">
        <v>6.3370510704763436</v>
      </c>
      <c r="I115" s="19">
        <v>6.9619660371674108</v>
      </c>
      <c r="J115"/>
      <c r="K115" s="19"/>
      <c r="L115"/>
    </row>
    <row r="116" spans="1:12" x14ac:dyDescent="0.35">
      <c r="A116" t="s">
        <v>105</v>
      </c>
      <c r="B116" s="19">
        <v>18.97443229598721</v>
      </c>
      <c r="C116" s="19">
        <v>19.419106084359932</v>
      </c>
      <c r="D116" s="19">
        <v>19.938865247650973</v>
      </c>
      <c r="E116" s="19">
        <v>19.315641445674775</v>
      </c>
      <c r="F116" s="19">
        <v>20.130234904343695</v>
      </c>
      <c r="G116" s="19">
        <v>21.478302301286703</v>
      </c>
      <c r="H116" s="19">
        <v>23.821660408979621</v>
      </c>
      <c r="I116" s="19">
        <v>26.587163276057169</v>
      </c>
      <c r="J116"/>
      <c r="K116" s="19"/>
      <c r="L116"/>
    </row>
    <row r="117" spans="1:12" x14ac:dyDescent="0.35">
      <c r="A117" t="s">
        <v>106</v>
      </c>
      <c r="B117" s="19">
        <v>6.2116810888276799</v>
      </c>
      <c r="C117" s="19">
        <v>6.6177623257234588</v>
      </c>
      <c r="D117" s="19">
        <v>6.7967924002417517</v>
      </c>
      <c r="E117" s="19">
        <v>6.5288427525090285</v>
      </c>
      <c r="F117" s="19">
        <v>6.8412301620393539</v>
      </c>
      <c r="G117" s="19">
        <v>7.4190612354424568</v>
      </c>
      <c r="H117" s="19">
        <v>8.4652449143771129</v>
      </c>
      <c r="I117" s="19">
        <v>9.6368028468831746</v>
      </c>
      <c r="J117"/>
      <c r="K117" s="19"/>
      <c r="L117"/>
    </row>
    <row r="118" spans="1:12" x14ac:dyDescent="0.35">
      <c r="A118" t="s">
        <v>107</v>
      </c>
      <c r="B118" s="19">
        <v>39.494597166225958</v>
      </c>
      <c r="C118" s="19">
        <v>42.435067113352318</v>
      </c>
      <c r="D118" s="19">
        <v>44.272431371165467</v>
      </c>
      <c r="E118" s="19">
        <v>43.260746161165287</v>
      </c>
      <c r="F118" s="19">
        <v>45.324085715374828</v>
      </c>
      <c r="G118" s="19">
        <v>48.527833946743471</v>
      </c>
      <c r="H118" s="19">
        <v>53.449102764039104</v>
      </c>
      <c r="I118" s="19">
        <v>58.335443774383862</v>
      </c>
      <c r="J118"/>
      <c r="K118" s="19"/>
      <c r="L118"/>
    </row>
    <row r="119" spans="1:12" x14ac:dyDescent="0.35">
      <c r="A119" t="s">
        <v>108</v>
      </c>
      <c r="B119" s="19">
        <v>5.7256790115963216</v>
      </c>
      <c r="C119" s="19">
        <v>6.7224640838571199</v>
      </c>
      <c r="D119" s="19">
        <v>7.2373588104068425</v>
      </c>
      <c r="E119" s="19">
        <v>7.0083847742721259</v>
      </c>
      <c r="F119" s="19">
        <v>7.3258900891453287</v>
      </c>
      <c r="G119" s="19">
        <v>7.8881876286745616</v>
      </c>
      <c r="H119" s="19">
        <v>8.8641122663869307</v>
      </c>
      <c r="I119" s="19">
        <v>9.9703904710226947</v>
      </c>
      <c r="J119"/>
      <c r="K119" s="19"/>
      <c r="L119"/>
    </row>
    <row r="120" spans="1:12" x14ac:dyDescent="0.35">
      <c r="A120" t="s">
        <v>109</v>
      </c>
      <c r="B120" s="19">
        <v>0</v>
      </c>
      <c r="C120" s="19">
        <v>0</v>
      </c>
      <c r="D120" s="19">
        <v>0</v>
      </c>
      <c r="E120" s="19">
        <v>0</v>
      </c>
      <c r="F120" s="19">
        <v>0</v>
      </c>
      <c r="G120" s="19">
        <v>0</v>
      </c>
      <c r="H120" s="19">
        <v>0</v>
      </c>
      <c r="I120" s="19">
        <v>0</v>
      </c>
      <c r="J120"/>
      <c r="K120" s="19"/>
      <c r="L120"/>
    </row>
    <row r="121" spans="1:12" x14ac:dyDescent="0.35">
      <c r="A121" t="s">
        <v>110</v>
      </c>
      <c r="B121" s="19">
        <v>0</v>
      </c>
      <c r="C121" s="19">
        <v>0</v>
      </c>
      <c r="D121" s="19">
        <v>0</v>
      </c>
      <c r="E121" s="19">
        <v>0</v>
      </c>
      <c r="F121" s="19">
        <v>0</v>
      </c>
      <c r="G121" s="19">
        <v>0</v>
      </c>
      <c r="H121" s="19">
        <v>0</v>
      </c>
      <c r="I121" s="19">
        <v>0</v>
      </c>
      <c r="J121"/>
      <c r="K121" s="19"/>
      <c r="L121"/>
    </row>
    <row r="122" spans="1:12" x14ac:dyDescent="0.35">
      <c r="A122" t="s">
        <v>111</v>
      </c>
      <c r="B122" s="19">
        <v>10.897271911372103</v>
      </c>
      <c r="C122" s="19">
        <v>11.578195055464269</v>
      </c>
      <c r="D122" s="19">
        <v>11.814532014357201</v>
      </c>
      <c r="E122" s="19">
        <v>11.249588198558136</v>
      </c>
      <c r="F122" s="19">
        <v>11.559362021915529</v>
      </c>
      <c r="G122" s="19">
        <v>12.013152550550824</v>
      </c>
      <c r="H122" s="19">
        <v>12.604582541222127</v>
      </c>
      <c r="I122" s="19">
        <v>13.247431071427</v>
      </c>
      <c r="J122"/>
      <c r="K122" s="19"/>
      <c r="L122"/>
    </row>
    <row r="123" spans="1:12" x14ac:dyDescent="0.35">
      <c r="B123" s="19"/>
      <c r="C123" s="19"/>
      <c r="D123" s="19"/>
      <c r="E123" s="19"/>
      <c r="F123" s="19"/>
      <c r="G123" s="19"/>
      <c r="H123" s="19"/>
      <c r="I123" s="19"/>
      <c r="J123"/>
      <c r="K123" s="19"/>
      <c r="L123"/>
    </row>
    <row r="124" spans="1:12" ht="15.5" x14ac:dyDescent="0.35">
      <c r="A124" s="45" t="s">
        <v>118</v>
      </c>
      <c r="B124" s="46">
        <v>234.10408508180333</v>
      </c>
      <c r="C124" s="46">
        <v>237.10594879399719</v>
      </c>
      <c r="D124" s="46">
        <v>243.09408497340806</v>
      </c>
      <c r="E124" s="46">
        <v>250.18998214710868</v>
      </c>
      <c r="F124" s="46">
        <v>260.7786725923699</v>
      </c>
      <c r="G124" s="46">
        <v>278.27222970153235</v>
      </c>
      <c r="H124" s="46">
        <v>306.16267838599902</v>
      </c>
      <c r="I124" s="46">
        <v>338.13471758822482</v>
      </c>
      <c r="J124"/>
      <c r="K124" s="19"/>
      <c r="L124"/>
    </row>
    <row r="125" spans="1:12" x14ac:dyDescent="0.35">
      <c r="A125" s="13"/>
      <c r="B125" s="27">
        <v>2022</v>
      </c>
      <c r="C125" s="27">
        <v>2026</v>
      </c>
      <c r="D125" s="27">
        <v>2029</v>
      </c>
      <c r="E125" s="27">
        <v>2032</v>
      </c>
      <c r="F125" s="27">
        <v>2035</v>
      </c>
      <c r="G125" s="27">
        <v>2040</v>
      </c>
      <c r="H125" s="27">
        <v>2050</v>
      </c>
      <c r="I125" s="27">
        <v>2060</v>
      </c>
      <c r="J125"/>
      <c r="K125"/>
      <c r="L125"/>
    </row>
    <row r="126" spans="1:12" x14ac:dyDescent="0.35">
      <c r="A126" s="13" t="s">
        <v>119</v>
      </c>
      <c r="B126" s="5">
        <v>0.10944134973305532</v>
      </c>
      <c r="C126" s="5">
        <v>0.10975076904844706</v>
      </c>
      <c r="D126" s="5">
        <v>0.11143274857753088</v>
      </c>
      <c r="E126" s="5">
        <v>0.11365955308765784</v>
      </c>
      <c r="F126" s="5">
        <v>0.11685867956225765</v>
      </c>
      <c r="G126" s="5">
        <v>0.12152884980722217</v>
      </c>
      <c r="H126" s="5">
        <v>0.12901646180960202</v>
      </c>
      <c r="I126" s="5">
        <v>0.13962691284766238</v>
      </c>
      <c r="J126"/>
      <c r="K126"/>
      <c r="L126"/>
    </row>
    <row r="127" spans="1:12" x14ac:dyDescent="0.35">
      <c r="B127" s="17"/>
      <c r="C127" s="17"/>
      <c r="D127" s="17"/>
      <c r="E127" s="17"/>
      <c r="F127" s="17"/>
      <c r="G127" s="17"/>
      <c r="H127" s="17"/>
      <c r="I127" s="17"/>
      <c r="J127"/>
      <c r="K127"/>
      <c r="L127"/>
    </row>
    <row r="128" spans="1:12" x14ac:dyDescent="0.35">
      <c r="J128"/>
      <c r="K128"/>
      <c r="L128"/>
    </row>
    <row r="129" spans="1:12" x14ac:dyDescent="0.35">
      <c r="A129" s="13"/>
      <c r="B129" s="19"/>
      <c r="C129" s="19"/>
      <c r="D129" s="19"/>
      <c r="E129" s="19"/>
      <c r="F129" s="19"/>
      <c r="G129" s="19"/>
      <c r="H129" s="19"/>
      <c r="I129" s="19"/>
      <c r="J129"/>
      <c r="K129"/>
      <c r="L129"/>
    </row>
    <row r="130" spans="1:12" x14ac:dyDescent="0.35">
      <c r="A130" s="13"/>
      <c r="B130" s="19"/>
      <c r="C130" s="19"/>
      <c r="D130" s="19"/>
      <c r="E130" s="19"/>
      <c r="F130" s="19"/>
      <c r="G130" s="19"/>
      <c r="H130" s="19"/>
      <c r="I130" s="19"/>
      <c r="J130"/>
      <c r="K130"/>
      <c r="L130"/>
    </row>
    <row r="131" spans="1:12" x14ac:dyDescent="0.35">
      <c r="A131" s="13"/>
      <c r="D131" s="4"/>
      <c r="J131"/>
      <c r="K131"/>
      <c r="L131"/>
    </row>
    <row r="132" spans="1:12" x14ac:dyDescent="0.35">
      <c r="A132" s="13"/>
      <c r="J132"/>
      <c r="K132"/>
      <c r="L132"/>
    </row>
    <row r="133" spans="1:12" ht="18.5" x14ac:dyDescent="0.45">
      <c r="A133" s="39" t="s">
        <v>120</v>
      </c>
      <c r="B133" s="39"/>
      <c r="C133" s="87"/>
      <c r="D133" s="87"/>
      <c r="E133" s="87"/>
      <c r="F133" s="87"/>
      <c r="G133" s="87"/>
      <c r="H133" s="87"/>
      <c r="I133" s="87"/>
      <c r="J133"/>
      <c r="K133"/>
      <c r="L133"/>
    </row>
    <row r="134" spans="1:12" x14ac:dyDescent="0.35">
      <c r="B134" s="27">
        <v>2022</v>
      </c>
      <c r="C134" s="27">
        <v>2026</v>
      </c>
      <c r="D134" s="27">
        <v>2029</v>
      </c>
      <c r="E134" s="27">
        <v>2032</v>
      </c>
      <c r="F134" s="27">
        <v>2035</v>
      </c>
      <c r="G134" s="27">
        <v>2040</v>
      </c>
      <c r="H134" s="27">
        <v>2050</v>
      </c>
      <c r="I134" s="27">
        <v>2060</v>
      </c>
      <c r="J134"/>
      <c r="K134"/>
      <c r="L134"/>
    </row>
    <row r="135" spans="1:12" x14ac:dyDescent="0.35">
      <c r="A135" s="10" t="s">
        <v>93</v>
      </c>
      <c r="B135" s="19">
        <v>1150.0012756065385</v>
      </c>
      <c r="C135" s="19">
        <v>1164.3597269948539</v>
      </c>
      <c r="D135" s="19">
        <v>1172.9408228221876</v>
      </c>
      <c r="E135" s="19">
        <v>1177.59046024586</v>
      </c>
      <c r="F135" s="19">
        <v>1187.4383441709442</v>
      </c>
      <c r="G135" s="19">
        <v>1209.1685605403263</v>
      </c>
      <c r="H135" s="19">
        <v>1237.4969180014232</v>
      </c>
      <c r="I135" s="19">
        <v>1239.8377423101369</v>
      </c>
      <c r="J135"/>
      <c r="K135"/>
      <c r="L135"/>
    </row>
    <row r="136" spans="1:12" x14ac:dyDescent="0.35">
      <c r="A136" t="s">
        <v>94</v>
      </c>
      <c r="B136" s="19">
        <v>10.075454689165236</v>
      </c>
      <c r="C136" s="19">
        <v>9.7946610571673371</v>
      </c>
      <c r="D136" s="19">
        <v>9.8954722950601379</v>
      </c>
      <c r="E136" s="19">
        <v>10.134721984719963</v>
      </c>
      <c r="F136" s="19">
        <v>10.378379120297968</v>
      </c>
      <c r="G136" s="19">
        <v>10.610578095703332</v>
      </c>
      <c r="H136" s="19">
        <v>10.775624614839955</v>
      </c>
      <c r="I136" s="19">
        <v>10.784198786849229</v>
      </c>
      <c r="J136"/>
      <c r="K136"/>
      <c r="L136"/>
    </row>
    <row r="137" spans="1:12" x14ac:dyDescent="0.35">
      <c r="A137" t="s">
        <v>95</v>
      </c>
      <c r="B137" s="19">
        <v>0.34800902687253843</v>
      </c>
      <c r="C137" s="19">
        <v>0.37486915830113721</v>
      </c>
      <c r="D137" s="19">
        <v>0.38065229406157353</v>
      </c>
      <c r="E137" s="19">
        <v>0.37919223366288235</v>
      </c>
      <c r="F137" s="19">
        <v>0.3734527905222329</v>
      </c>
      <c r="G137" s="19">
        <v>0.36406468882772258</v>
      </c>
      <c r="H137" s="19">
        <v>0.34552979231409786</v>
      </c>
      <c r="I137" s="19">
        <v>0.3252205099144172</v>
      </c>
      <c r="J137"/>
      <c r="K137"/>
      <c r="L137"/>
    </row>
    <row r="138" spans="1:12" x14ac:dyDescent="0.35">
      <c r="A138" t="s">
        <v>96</v>
      </c>
      <c r="B138" s="19">
        <v>4.7261502821752224</v>
      </c>
      <c r="C138" s="19">
        <v>4.5013968906200024</v>
      </c>
      <c r="D138" s="19">
        <v>4.3313284015650506</v>
      </c>
      <c r="E138" s="19">
        <v>4.1885083024209777</v>
      </c>
      <c r="F138" s="19">
        <v>4.0637368500164399</v>
      </c>
      <c r="G138" s="19">
        <v>3.8493683992919783</v>
      </c>
      <c r="H138" s="19">
        <v>3.3674799073322368</v>
      </c>
      <c r="I138" s="19">
        <v>2.870175045438859</v>
      </c>
      <c r="J138"/>
      <c r="K138"/>
      <c r="L138"/>
    </row>
    <row r="139" spans="1:12" x14ac:dyDescent="0.35">
      <c r="A139" t="s">
        <v>70</v>
      </c>
      <c r="B139" s="19">
        <v>57.862660753841709</v>
      </c>
      <c r="C139" s="19">
        <v>56.853036495052166</v>
      </c>
      <c r="D139" s="19">
        <v>58.550771727266756</v>
      </c>
      <c r="E139" s="19">
        <v>60.551764171266562</v>
      </c>
      <c r="F139" s="19">
        <v>60.778033789160304</v>
      </c>
      <c r="G139" s="19">
        <v>61.501511540597328</v>
      </c>
      <c r="H139" s="19">
        <v>59.80751604773161</v>
      </c>
      <c r="I139" s="19">
        <v>57.107374008593425</v>
      </c>
      <c r="J139"/>
      <c r="K139"/>
      <c r="L139"/>
    </row>
    <row r="140" spans="1:12" x14ac:dyDescent="0.35">
      <c r="A140" t="s">
        <v>74</v>
      </c>
      <c r="B140" s="19">
        <v>126.64952423107029</v>
      </c>
      <c r="C140" s="19">
        <v>120.86549557654106</v>
      </c>
      <c r="D140" s="19">
        <v>121.99900489203647</v>
      </c>
      <c r="E140" s="19">
        <v>110.29466090441103</v>
      </c>
      <c r="F140" s="19">
        <v>117.20680571931497</v>
      </c>
      <c r="G140" s="19">
        <v>129.55840037951285</v>
      </c>
      <c r="H140" s="19">
        <v>148.27065101064667</v>
      </c>
      <c r="I140" s="19">
        <v>164.19109264475298</v>
      </c>
      <c r="J140"/>
      <c r="K140"/>
      <c r="L140"/>
    </row>
    <row r="141" spans="1:12" x14ac:dyDescent="0.35">
      <c r="A141" t="s">
        <v>97</v>
      </c>
      <c r="B141" s="19">
        <v>29.301325413214929</v>
      </c>
      <c r="C141" s="19">
        <v>28.153885741915019</v>
      </c>
      <c r="D141" s="19">
        <v>27.735165542075499</v>
      </c>
      <c r="E141" s="19">
        <v>28.273450810340719</v>
      </c>
      <c r="F141" s="19">
        <v>27.920913340962795</v>
      </c>
      <c r="G141" s="19">
        <v>27.644810471869498</v>
      </c>
      <c r="H141" s="19">
        <v>26.912107393441715</v>
      </c>
      <c r="I141" s="19">
        <v>25.109677047912875</v>
      </c>
      <c r="J141"/>
      <c r="K141"/>
      <c r="L141"/>
    </row>
    <row r="142" spans="1:12" x14ac:dyDescent="0.35">
      <c r="A142" t="s">
        <v>98</v>
      </c>
      <c r="B142" s="19">
        <v>96.75518499126531</v>
      </c>
      <c r="C142" s="19">
        <v>87.749053108944125</v>
      </c>
      <c r="D142" s="19">
        <v>85.46420157675783</v>
      </c>
      <c r="E142" s="19">
        <v>86.783080411507001</v>
      </c>
      <c r="F142" s="19">
        <v>85.971126469862497</v>
      </c>
      <c r="G142" s="19">
        <v>85.780711981411727</v>
      </c>
      <c r="H142" s="19">
        <v>84.584801868114752</v>
      </c>
      <c r="I142" s="19">
        <v>80.001340538363252</v>
      </c>
      <c r="J142"/>
      <c r="K142"/>
      <c r="L142"/>
    </row>
    <row r="143" spans="1:12" x14ac:dyDescent="0.35">
      <c r="A143" t="s">
        <v>99</v>
      </c>
      <c r="B143" s="19">
        <v>21.440435786856995</v>
      </c>
      <c r="C143" s="19">
        <v>23.609514164509456</v>
      </c>
      <c r="D143" s="19">
        <v>24.097969908751239</v>
      </c>
      <c r="E143" s="19">
        <v>24.602719523796019</v>
      </c>
      <c r="F143" s="19">
        <v>24.438318246430065</v>
      </c>
      <c r="G143" s="19">
        <v>24.375436001664639</v>
      </c>
      <c r="H143" s="19">
        <v>24.122915445897618</v>
      </c>
      <c r="I143" s="19">
        <v>22.994987245705531</v>
      </c>
      <c r="J143"/>
      <c r="K143"/>
      <c r="L143"/>
    </row>
    <row r="144" spans="1:12" x14ac:dyDescent="0.35">
      <c r="A144" t="s">
        <v>100</v>
      </c>
      <c r="B144" s="19">
        <v>19.645903838619986</v>
      </c>
      <c r="C144" s="19">
        <v>19.038584239888682</v>
      </c>
      <c r="D144" s="19">
        <v>18.557591736515292</v>
      </c>
      <c r="E144" s="19">
        <v>18.400617962439686</v>
      </c>
      <c r="F144" s="19">
        <v>18.010697100669923</v>
      </c>
      <c r="G144" s="19">
        <v>17.66382048954404</v>
      </c>
      <c r="H144" s="19">
        <v>17.149082591751863</v>
      </c>
      <c r="I144" s="19">
        <v>16.288225552112685</v>
      </c>
      <c r="J144"/>
      <c r="K144"/>
      <c r="L144"/>
    </row>
    <row r="145" spans="1:12" x14ac:dyDescent="0.35">
      <c r="A145" t="s">
        <v>101</v>
      </c>
      <c r="B145" s="19">
        <v>37.424632370749222</v>
      </c>
      <c r="C145" s="19">
        <v>37.676139351905334</v>
      </c>
      <c r="D145" s="19">
        <v>37.151254606522052</v>
      </c>
      <c r="E145" s="19">
        <v>37.199688445260186</v>
      </c>
      <c r="F145" s="19">
        <v>36.570680977323939</v>
      </c>
      <c r="G145" s="19">
        <v>35.571304934939839</v>
      </c>
      <c r="H145" s="19">
        <v>33.24292402738736</v>
      </c>
      <c r="I145" s="19">
        <v>30.164211173734486</v>
      </c>
      <c r="J145"/>
      <c r="K145"/>
      <c r="L145"/>
    </row>
    <row r="146" spans="1:12" x14ac:dyDescent="0.35">
      <c r="A146" t="s">
        <v>102</v>
      </c>
      <c r="B146" s="19">
        <v>24.246021422014138</v>
      </c>
      <c r="C146" s="19">
        <v>25.29650138303758</v>
      </c>
      <c r="D146" s="19">
        <v>25.393124511463697</v>
      </c>
      <c r="E146" s="19">
        <v>25.738418503490138</v>
      </c>
      <c r="F146" s="19">
        <v>25.560169689985116</v>
      </c>
      <c r="G146" s="19">
        <v>25.156398466286035</v>
      </c>
      <c r="H146" s="19">
        <v>23.940052307714751</v>
      </c>
      <c r="I146" s="19">
        <v>21.948864000536659</v>
      </c>
      <c r="J146"/>
      <c r="K146"/>
      <c r="L146"/>
    </row>
    <row r="147" spans="1:12" x14ac:dyDescent="0.35">
      <c r="A147" t="s">
        <v>103</v>
      </c>
      <c r="B147" s="19">
        <v>120.41566501273537</v>
      </c>
      <c r="C147" s="19">
        <v>123.94625516414595</v>
      </c>
      <c r="D147" s="19">
        <v>125.64713826265842</v>
      </c>
      <c r="E147" s="19">
        <v>129.27026318290638</v>
      </c>
      <c r="F147" s="19">
        <v>130.52171351805484</v>
      </c>
      <c r="G147" s="19">
        <v>133.2297603258105</v>
      </c>
      <c r="H147" s="19">
        <v>140.34724443476932</v>
      </c>
      <c r="I147" s="19">
        <v>145.8372133951282</v>
      </c>
      <c r="J147"/>
      <c r="K147"/>
      <c r="L147"/>
    </row>
    <row r="148" spans="1:12" x14ac:dyDescent="0.35">
      <c r="A148" t="s">
        <v>104</v>
      </c>
      <c r="B148" s="19">
        <v>20.33696606718313</v>
      </c>
      <c r="C148" s="19">
        <v>19.913913024139578</v>
      </c>
      <c r="D148" s="19">
        <v>19.568756278299848</v>
      </c>
      <c r="E148" s="19">
        <v>19.611231468853408</v>
      </c>
      <c r="F148" s="19">
        <v>19.583711635551985</v>
      </c>
      <c r="G148" s="19">
        <v>19.76919967069243</v>
      </c>
      <c r="H148" s="19">
        <v>20.003942803586543</v>
      </c>
      <c r="I148" s="19">
        <v>19.783350762419087</v>
      </c>
      <c r="J148"/>
      <c r="K148"/>
      <c r="L148"/>
    </row>
    <row r="149" spans="1:12" x14ac:dyDescent="0.35">
      <c r="A149" t="s">
        <v>105</v>
      </c>
      <c r="B149" s="19">
        <v>68.386606414786883</v>
      </c>
      <c r="C149" s="19">
        <v>69.618689310962708</v>
      </c>
      <c r="D149" s="19">
        <v>70.133348524498501</v>
      </c>
      <c r="E149" s="19">
        <v>71.633958994494648</v>
      </c>
      <c r="F149" s="19">
        <v>72.021460036823726</v>
      </c>
      <c r="G149" s="19">
        <v>73.144149136371112</v>
      </c>
      <c r="H149" s="19">
        <v>75.00111638734559</v>
      </c>
      <c r="I149" s="19">
        <v>75.005661453642432</v>
      </c>
      <c r="J149"/>
      <c r="K149"/>
      <c r="L149"/>
    </row>
    <row r="150" spans="1:12" x14ac:dyDescent="0.35">
      <c r="A150" t="s">
        <v>106</v>
      </c>
      <c r="B150" s="19">
        <v>125.10449258367771</v>
      </c>
      <c r="C150" s="19">
        <v>127.55680101449872</v>
      </c>
      <c r="D150" s="19">
        <v>128.51246839887582</v>
      </c>
      <c r="E150" s="19">
        <v>129.56896854325709</v>
      </c>
      <c r="F150" s="19">
        <v>130.57694740567547</v>
      </c>
      <c r="G150" s="19">
        <v>132.61423052686996</v>
      </c>
      <c r="H150" s="19">
        <v>136.55832121184037</v>
      </c>
      <c r="I150" s="19">
        <v>139.70325284325074</v>
      </c>
      <c r="J150"/>
      <c r="K150"/>
      <c r="L150"/>
    </row>
    <row r="151" spans="1:12" x14ac:dyDescent="0.35">
      <c r="A151" t="s">
        <v>107</v>
      </c>
      <c r="B151" s="19">
        <v>159.02910220700286</v>
      </c>
      <c r="C151" s="19">
        <v>168.27860676200433</v>
      </c>
      <c r="D151" s="19">
        <v>171.9067409401041</v>
      </c>
      <c r="E151" s="19">
        <v>176.84301660067837</v>
      </c>
      <c r="F151" s="19">
        <v>178.88751409831031</v>
      </c>
      <c r="G151" s="19">
        <v>182.56615956102314</v>
      </c>
      <c r="H151" s="19">
        <v>186.63355926269506</v>
      </c>
      <c r="I151" s="19">
        <v>184.00764224267044</v>
      </c>
      <c r="J151"/>
      <c r="K151"/>
      <c r="L151"/>
    </row>
    <row r="152" spans="1:12" x14ac:dyDescent="0.35">
      <c r="A152" t="s">
        <v>108</v>
      </c>
      <c r="B152" s="19">
        <v>29.883310188982989</v>
      </c>
      <c r="C152" s="19">
        <v>33.568647495143587</v>
      </c>
      <c r="D152" s="19">
        <v>35.015056890058787</v>
      </c>
      <c r="E152" s="19">
        <v>35.598485764565723</v>
      </c>
      <c r="F152" s="19">
        <v>35.850225728944523</v>
      </c>
      <c r="G152" s="19">
        <v>36.552139562161855</v>
      </c>
      <c r="H152" s="19">
        <v>37.718652665196849</v>
      </c>
      <c r="I152" s="19">
        <v>38.053725209956006</v>
      </c>
      <c r="J152"/>
      <c r="K152"/>
      <c r="L152"/>
    </row>
    <row r="153" spans="1:12" x14ac:dyDescent="0.35">
      <c r="A153" t="s">
        <v>109</v>
      </c>
      <c r="B153" s="19">
        <v>18.872192498811856</v>
      </c>
      <c r="C153" s="19">
        <v>19.517361083449011</v>
      </c>
      <c r="D153" s="19">
        <v>19.334784688625621</v>
      </c>
      <c r="E153" s="19">
        <v>18.812653914174494</v>
      </c>
      <c r="F153" s="19">
        <v>18.501028378670142</v>
      </c>
      <c r="G153" s="19">
        <v>18.160132345198811</v>
      </c>
      <c r="H153" s="19">
        <v>17.460850432717358</v>
      </c>
      <c r="I153" s="19">
        <v>16.69330603641367</v>
      </c>
      <c r="J153"/>
      <c r="K153"/>
      <c r="L153"/>
    </row>
    <row r="154" spans="1:12" x14ac:dyDescent="0.35">
      <c r="A154" t="s">
        <v>110</v>
      </c>
      <c r="B154" s="19">
        <v>140.13262792819555</v>
      </c>
      <c r="C154" s="19">
        <v>145.87255817570758</v>
      </c>
      <c r="D154" s="19">
        <v>146.98745493611904</v>
      </c>
      <c r="E154" s="19">
        <v>147.35854048496967</v>
      </c>
      <c r="F154" s="19">
        <v>148.40207863845717</v>
      </c>
      <c r="G154" s="19">
        <v>149.96564289432806</v>
      </c>
      <c r="H154" s="19">
        <v>151.83292331827204</v>
      </c>
      <c r="I154" s="19">
        <v>152.28553205444791</v>
      </c>
      <c r="J154"/>
      <c r="K154"/>
      <c r="L154"/>
    </row>
    <row r="155" spans="1:12" x14ac:dyDescent="0.35">
      <c r="A155" t="s">
        <v>111</v>
      </c>
      <c r="B155" s="19">
        <v>39.365009899316647</v>
      </c>
      <c r="C155" s="19">
        <v>42.17375779692054</v>
      </c>
      <c r="D155" s="19">
        <v>42.278536410871581</v>
      </c>
      <c r="E155" s="19">
        <v>42.346518038644717</v>
      </c>
      <c r="F155" s="19">
        <v>41.821350635910051</v>
      </c>
      <c r="G155" s="19">
        <v>41.090741068221305</v>
      </c>
      <c r="H155" s="19">
        <v>39.42162247782727</v>
      </c>
      <c r="I155" s="19">
        <v>36.682691758293998</v>
      </c>
      <c r="J155"/>
      <c r="K155"/>
      <c r="L155"/>
    </row>
    <row r="156" spans="1:12" x14ac:dyDescent="0.35">
      <c r="B156" s="19"/>
      <c r="C156" s="19"/>
      <c r="D156" s="19"/>
      <c r="E156" s="19"/>
      <c r="F156" s="19"/>
      <c r="G156" s="19"/>
      <c r="H156" s="19"/>
      <c r="I156" s="19"/>
      <c r="J156"/>
      <c r="K156"/>
      <c r="L156"/>
    </row>
    <row r="157" spans="1:12" x14ac:dyDescent="0.35">
      <c r="B157" s="19"/>
      <c r="C157" s="19"/>
      <c r="D157" s="19"/>
      <c r="E157" s="19"/>
      <c r="F157" s="19"/>
      <c r="G157" s="19"/>
      <c r="H157" s="19"/>
      <c r="I157" s="19"/>
      <c r="J157"/>
      <c r="K157"/>
      <c r="L157"/>
    </row>
    <row r="158" spans="1:12" x14ac:dyDescent="0.35">
      <c r="A158" t="s">
        <v>112</v>
      </c>
      <c r="B158" s="19">
        <v>73.397775208213986</v>
      </c>
      <c r="C158" s="19">
        <v>72.345096356238841</v>
      </c>
      <c r="D158" s="19">
        <v>73.12896062610325</v>
      </c>
      <c r="E158" s="19">
        <v>74.021475195653068</v>
      </c>
      <c r="F158" s="19">
        <v>74.771571225609421</v>
      </c>
      <c r="G158" s="19">
        <v>76.387218016687186</v>
      </c>
      <c r="H158" s="19">
        <v>75.655405788395512</v>
      </c>
      <c r="I158" s="19">
        <v>70.602050438603584</v>
      </c>
      <c r="J158"/>
      <c r="K158"/>
      <c r="L158"/>
    </row>
    <row r="159" spans="1:12" x14ac:dyDescent="0.35">
      <c r="A159" t="s">
        <v>113</v>
      </c>
      <c r="B159" s="19">
        <v>44.128740008151098</v>
      </c>
      <c r="C159" s="19">
        <v>42.378668948342792</v>
      </c>
      <c r="D159" s="19">
        <v>42.433912285938511</v>
      </c>
      <c r="E159" s="19">
        <v>44.956099227446799</v>
      </c>
      <c r="F159" s="19">
        <v>45.940585301950833</v>
      </c>
      <c r="G159" s="19">
        <v>47.496421910926777</v>
      </c>
      <c r="H159" s="19">
        <v>53.07380625956921</v>
      </c>
      <c r="I159" s="19">
        <v>59.478755831662859</v>
      </c>
      <c r="J159"/>
      <c r="K159"/>
      <c r="L159"/>
    </row>
    <row r="160" spans="1:12" x14ac:dyDescent="0.35">
      <c r="A160" t="s">
        <v>114</v>
      </c>
      <c r="B160" s="19">
        <v>110.000000017966</v>
      </c>
      <c r="C160" s="19">
        <v>109.999999971433</v>
      </c>
      <c r="D160" s="19">
        <v>109.99999962672101</v>
      </c>
      <c r="E160" s="19">
        <v>109.99999968698</v>
      </c>
      <c r="F160" s="19">
        <v>109.99999963547801</v>
      </c>
      <c r="G160" s="19">
        <v>110.000000095693</v>
      </c>
      <c r="H160" s="19">
        <v>109.99999957190001</v>
      </c>
      <c r="I160" s="19">
        <v>109.999999709657</v>
      </c>
      <c r="J160"/>
      <c r="K160"/>
      <c r="L160"/>
    </row>
    <row r="161" spans="1:12" x14ac:dyDescent="0.35">
      <c r="A161" s="12" t="s">
        <v>121</v>
      </c>
      <c r="B161" s="20">
        <v>227.5265152343311</v>
      </c>
      <c r="C161" s="20">
        <v>224.72376527601463</v>
      </c>
      <c r="D161" s="20">
        <v>225.56287253876278</v>
      </c>
      <c r="E161" s="20">
        <v>228.97757411007987</v>
      </c>
      <c r="F161" s="20">
        <v>230.71215616303826</v>
      </c>
      <c r="G161" s="20">
        <v>233.88364002330695</v>
      </c>
      <c r="H161" s="20">
        <v>238.72921161986471</v>
      </c>
      <c r="I161" s="20">
        <v>240.08080597992344</v>
      </c>
      <c r="J161"/>
      <c r="K161"/>
      <c r="L161"/>
    </row>
    <row r="162" spans="1:12" ht="15.5" x14ac:dyDescent="0.35">
      <c r="A162" s="45" t="s">
        <v>122</v>
      </c>
      <c r="B162" s="46">
        <v>1377.5277908408696</v>
      </c>
      <c r="C162" s="46">
        <v>1389.0834922708684</v>
      </c>
      <c r="D162" s="46">
        <v>1398.5036953609504</v>
      </c>
      <c r="E162" s="46">
        <v>1406.5680343559397</v>
      </c>
      <c r="F162" s="46">
        <v>1418.1505003339826</v>
      </c>
      <c r="G162" s="46">
        <v>1443.0522005636333</v>
      </c>
      <c r="H162" s="46">
        <v>1476.2261296212878</v>
      </c>
      <c r="I162" s="46">
        <v>1479.9185482900605</v>
      </c>
      <c r="J162"/>
      <c r="K162"/>
      <c r="L162"/>
    </row>
    <row r="163" spans="1:12" x14ac:dyDescent="0.35">
      <c r="A163" s="13"/>
      <c r="B163" s="27">
        <v>2022</v>
      </c>
      <c r="C163" s="27">
        <v>2026</v>
      </c>
      <c r="D163" s="27">
        <v>2029</v>
      </c>
      <c r="E163" s="27">
        <v>2032</v>
      </c>
      <c r="F163" s="27">
        <v>2035</v>
      </c>
      <c r="G163" s="27">
        <v>2040</v>
      </c>
      <c r="H163" s="27">
        <v>2050</v>
      </c>
      <c r="I163" s="27">
        <v>2060</v>
      </c>
      <c r="J163"/>
      <c r="K163"/>
      <c r="L163"/>
    </row>
    <row r="164" spans="1:12" x14ac:dyDescent="0.35">
      <c r="A164" s="13"/>
      <c r="D164" s="4"/>
      <c r="J164"/>
      <c r="K164"/>
      <c r="L164"/>
    </row>
    <row r="165" spans="1:12" x14ac:dyDescent="0.35">
      <c r="J165"/>
      <c r="K165"/>
      <c r="L165"/>
    </row>
    <row r="166" spans="1:12" ht="18.5" x14ac:dyDescent="0.45">
      <c r="A166" s="39" t="s">
        <v>123</v>
      </c>
      <c r="B166" s="39"/>
      <c r="J166"/>
      <c r="K166"/>
      <c r="L166"/>
    </row>
    <row r="167" spans="1:12" x14ac:dyDescent="0.35">
      <c r="B167" s="27">
        <v>2022</v>
      </c>
      <c r="C167" s="27">
        <v>2026</v>
      </c>
      <c r="D167" s="27">
        <v>2029</v>
      </c>
      <c r="E167" s="27">
        <v>2032</v>
      </c>
      <c r="F167" s="27">
        <v>2035</v>
      </c>
      <c r="G167" s="27">
        <v>2040</v>
      </c>
      <c r="H167" s="27">
        <v>2050</v>
      </c>
      <c r="I167" s="27">
        <v>2060</v>
      </c>
      <c r="J167" s="9" t="s">
        <v>124</v>
      </c>
      <c r="K167" t="s">
        <v>125</v>
      </c>
      <c r="L167"/>
    </row>
    <row r="168" spans="1:12" x14ac:dyDescent="0.35">
      <c r="A168" s="10" t="s">
        <v>93</v>
      </c>
      <c r="B168" s="19">
        <v>527.4507071487169</v>
      </c>
      <c r="C168" s="19">
        <v>534.21408822003582</v>
      </c>
      <c r="D168" s="19">
        <v>539.93402316658444</v>
      </c>
      <c r="E168" s="19">
        <v>544.46462911261972</v>
      </c>
      <c r="F168" s="19">
        <v>552.64381394311965</v>
      </c>
      <c r="G168" s="19">
        <v>568.43828980457761</v>
      </c>
      <c r="H168" s="19">
        <v>590.6624607356373</v>
      </c>
      <c r="I168" s="19">
        <v>603.64832940901522</v>
      </c>
      <c r="K168"/>
      <c r="L168"/>
    </row>
    <row r="169" spans="1:12" x14ac:dyDescent="0.35">
      <c r="A169" t="s">
        <v>94</v>
      </c>
      <c r="B169" s="19">
        <v>0</v>
      </c>
      <c r="C169" s="19">
        <v>0</v>
      </c>
      <c r="D169" s="19">
        <v>0</v>
      </c>
      <c r="E169" s="19">
        <v>0</v>
      </c>
      <c r="F169" s="19">
        <v>0</v>
      </c>
      <c r="G169" s="19">
        <v>0</v>
      </c>
      <c r="H169" s="19">
        <v>0</v>
      </c>
      <c r="I169" s="19">
        <v>0</v>
      </c>
      <c r="J169" s="9" t="s">
        <v>126</v>
      </c>
      <c r="K169" t="s">
        <v>127</v>
      </c>
      <c r="L169"/>
    </row>
    <row r="170" spans="1:12" x14ac:dyDescent="0.35">
      <c r="A170" t="s">
        <v>95</v>
      </c>
      <c r="B170" s="19">
        <v>1.5658129152739499</v>
      </c>
      <c r="C170" s="19">
        <v>1.5818061396652328</v>
      </c>
      <c r="D170" s="19">
        <v>1.5968370124342264</v>
      </c>
      <c r="E170" s="19">
        <v>1.6067289193944476</v>
      </c>
      <c r="F170" s="19">
        <v>1.611213385519747</v>
      </c>
      <c r="G170" s="19">
        <v>1.6221268286657675</v>
      </c>
      <c r="H170" s="19">
        <v>1.6209348034436522</v>
      </c>
      <c r="I170" s="19">
        <v>1.6100554509337728</v>
      </c>
      <c r="J170" s="9" t="s">
        <v>126</v>
      </c>
      <c r="K170" t="s">
        <v>127</v>
      </c>
      <c r="L170"/>
    </row>
    <row r="171" spans="1:12" x14ac:dyDescent="0.35">
      <c r="A171" t="s">
        <v>96</v>
      </c>
      <c r="B171" s="19">
        <v>0.368559758312338</v>
      </c>
      <c r="C171" s="19">
        <v>0.34652984461039826</v>
      </c>
      <c r="D171" s="19">
        <v>0.33303421501865899</v>
      </c>
      <c r="E171" s="19">
        <v>0.3227197083479123</v>
      </c>
      <c r="F171" s="19">
        <v>0.31426158480940053</v>
      </c>
      <c r="G171" s="19">
        <v>0.29960899986757211</v>
      </c>
      <c r="H171" s="19">
        <v>0.26472822203568291</v>
      </c>
      <c r="I171" s="19">
        <v>0.22789753111165106</v>
      </c>
      <c r="J171" s="9" t="s">
        <v>126</v>
      </c>
      <c r="K171" t="s">
        <v>127</v>
      </c>
      <c r="L171"/>
    </row>
    <row r="172" spans="1:12" x14ac:dyDescent="0.35">
      <c r="A172" t="s">
        <v>70</v>
      </c>
      <c r="B172" s="19">
        <v>23.082888878571499</v>
      </c>
      <c r="C172" s="19">
        <v>22.377694669490598</v>
      </c>
      <c r="D172" s="19">
        <v>23.130519703990522</v>
      </c>
      <c r="E172" s="19">
        <v>23.648337970252008</v>
      </c>
      <c r="F172" s="19">
        <v>24.060372014778483</v>
      </c>
      <c r="G172" s="19">
        <v>24.854379869226598</v>
      </c>
      <c r="H172" s="19">
        <v>24.994588497238336</v>
      </c>
      <c r="I172" s="19">
        <v>24.957921718379382</v>
      </c>
      <c r="J172" s="56" t="s">
        <v>128</v>
      </c>
      <c r="K172" t="s">
        <v>127</v>
      </c>
      <c r="L172"/>
    </row>
    <row r="173" spans="1:12" x14ac:dyDescent="0.35">
      <c r="A173" t="s">
        <v>74</v>
      </c>
      <c r="B173" s="19">
        <v>7.7000132405767303</v>
      </c>
      <c r="C173" s="19">
        <v>7.2555780595209276</v>
      </c>
      <c r="D173" s="19">
        <v>7.3149041875315213</v>
      </c>
      <c r="E173" s="19">
        <v>7.555260688919117</v>
      </c>
      <c r="F173" s="19">
        <v>8.0886485057494131</v>
      </c>
      <c r="G173" s="19">
        <v>9.0456837618832129</v>
      </c>
      <c r="H173" s="19">
        <v>10.546032397408659</v>
      </c>
      <c r="I173" s="19">
        <v>11.94989864626389</v>
      </c>
      <c r="J173" s="9" t="s">
        <v>126</v>
      </c>
      <c r="K173" t="s">
        <v>127</v>
      </c>
      <c r="L173"/>
    </row>
    <row r="174" spans="1:12" x14ac:dyDescent="0.35">
      <c r="A174" t="s">
        <v>97</v>
      </c>
      <c r="B174" s="19">
        <v>9.5664418441023802</v>
      </c>
      <c r="C174" s="19">
        <v>9.0909845240300484</v>
      </c>
      <c r="D174" s="19">
        <v>9.0114010043402093</v>
      </c>
      <c r="E174" s="19">
        <v>9.0208250204471483</v>
      </c>
      <c r="F174" s="19">
        <v>9.0643851883209656</v>
      </c>
      <c r="G174" s="19">
        <v>9.2108533614963317</v>
      </c>
      <c r="H174" s="19">
        <v>9.3584199045268388</v>
      </c>
      <c r="I174" s="19">
        <v>9.2697463601023973</v>
      </c>
      <c r="J174" s="9" t="s">
        <v>126</v>
      </c>
      <c r="K174" t="s">
        <v>127</v>
      </c>
      <c r="L174"/>
    </row>
    <row r="175" spans="1:12" x14ac:dyDescent="0.35">
      <c r="A175" t="s">
        <v>98</v>
      </c>
      <c r="B175" s="19">
        <v>29.268808625183699</v>
      </c>
      <c r="C175" s="19">
        <v>26.260737931035759</v>
      </c>
      <c r="D175" s="19">
        <v>25.736556219103086</v>
      </c>
      <c r="E175" s="19">
        <v>25.661643055605289</v>
      </c>
      <c r="F175" s="19">
        <v>25.864841356520209</v>
      </c>
      <c r="G175" s="19">
        <v>26.482743348633093</v>
      </c>
      <c r="H175" s="19">
        <v>27.247924978722505</v>
      </c>
      <c r="I175" s="19">
        <v>27.352599808532663</v>
      </c>
      <c r="J175" s="9" t="s">
        <v>126</v>
      </c>
      <c r="K175" t="s">
        <v>127</v>
      </c>
      <c r="L175"/>
    </row>
    <row r="176" spans="1:12" x14ac:dyDescent="0.35">
      <c r="A176" t="s">
        <v>99</v>
      </c>
      <c r="B176" s="19">
        <v>48.954431778397002</v>
      </c>
      <c r="C176" s="19">
        <v>52.099265510433717</v>
      </c>
      <c r="D176" s="19">
        <v>53.382705403187174</v>
      </c>
      <c r="E176" s="19">
        <v>53.742367661018612</v>
      </c>
      <c r="F176" s="19">
        <v>54.654883501365894</v>
      </c>
      <c r="G176" s="19">
        <v>56.591348968201657</v>
      </c>
      <c r="H176" s="19">
        <v>59.575759716551062</v>
      </c>
      <c r="I176" s="19">
        <v>61.602730132496035</v>
      </c>
      <c r="J176" s="56" t="s">
        <v>128</v>
      </c>
      <c r="K176" t="s">
        <v>127</v>
      </c>
      <c r="L176"/>
    </row>
    <row r="177" spans="1:12" x14ac:dyDescent="0.35">
      <c r="A177" t="s">
        <v>100</v>
      </c>
      <c r="B177" s="19">
        <v>4.2057205483414002</v>
      </c>
      <c r="C177" s="19">
        <v>4.027986744789124</v>
      </c>
      <c r="D177" s="19">
        <v>3.9380127621939152</v>
      </c>
      <c r="E177" s="19">
        <v>3.8679062619319033</v>
      </c>
      <c r="F177" s="19">
        <v>3.829600367255416</v>
      </c>
      <c r="G177" s="19">
        <v>3.8220141901198801</v>
      </c>
      <c r="H177" s="19">
        <v>3.8170194122834373</v>
      </c>
      <c r="I177" s="19">
        <v>3.7631931356122257</v>
      </c>
      <c r="J177" s="57" t="s">
        <v>129</v>
      </c>
      <c r="K177" t="s">
        <v>130</v>
      </c>
      <c r="L177"/>
    </row>
    <row r="178" spans="1:12" x14ac:dyDescent="0.35">
      <c r="A178" t="s">
        <v>101</v>
      </c>
      <c r="B178" s="19">
        <v>48.257898802807198</v>
      </c>
      <c r="C178" s="19">
        <v>47.405765067161624</v>
      </c>
      <c r="D178" s="19">
        <v>46.827403565294567</v>
      </c>
      <c r="E178" s="19">
        <v>46.548065574066506</v>
      </c>
      <c r="F178" s="19">
        <v>46.45093667772246</v>
      </c>
      <c r="G178" s="19">
        <v>46.269638758631068</v>
      </c>
      <c r="H178" s="19">
        <v>44.938906092207688</v>
      </c>
      <c r="I178" s="19">
        <v>42.795697296306557</v>
      </c>
      <c r="J178" s="9" t="s">
        <v>126</v>
      </c>
      <c r="K178" t="s">
        <v>127</v>
      </c>
      <c r="L178"/>
    </row>
    <row r="179" spans="1:12" x14ac:dyDescent="0.35">
      <c r="A179" t="s">
        <v>102</v>
      </c>
      <c r="B179" s="19">
        <v>77.261231979032203</v>
      </c>
      <c r="C179" s="19">
        <v>76.93903076444775</v>
      </c>
      <c r="D179" s="19">
        <v>77.204969660020296</v>
      </c>
      <c r="E179" s="19">
        <v>77.975953133091465</v>
      </c>
      <c r="F179" s="19">
        <v>79.076919263057135</v>
      </c>
      <c r="G179" s="19">
        <v>80.584765203593378</v>
      </c>
      <c r="H179" s="19">
        <v>81.166763247145113</v>
      </c>
      <c r="I179" s="19">
        <v>79.693894123951523</v>
      </c>
      <c r="J179" s="9" t="s">
        <v>126</v>
      </c>
      <c r="K179" t="s">
        <v>127</v>
      </c>
      <c r="L179"/>
    </row>
    <row r="180" spans="1:12" x14ac:dyDescent="0.35">
      <c r="A180" t="s">
        <v>103</v>
      </c>
      <c r="B180" s="19">
        <v>82.731191235436398</v>
      </c>
      <c r="C180" s="19">
        <v>83.688033757775258</v>
      </c>
      <c r="D180" s="19">
        <v>85.044311575463553</v>
      </c>
      <c r="E180" s="19">
        <v>86.755927510025018</v>
      </c>
      <c r="F180" s="19">
        <v>88.743149076956655</v>
      </c>
      <c r="G180" s="19">
        <v>92.438112317795699</v>
      </c>
      <c r="H180" s="19">
        <v>100.61986712162711</v>
      </c>
      <c r="I180" s="19">
        <v>109.05258848866058</v>
      </c>
      <c r="J180" s="57" t="s">
        <v>129</v>
      </c>
      <c r="K180" t="s">
        <v>130</v>
      </c>
      <c r="L180"/>
    </row>
    <row r="181" spans="1:12" x14ac:dyDescent="0.35">
      <c r="A181" t="s">
        <v>104</v>
      </c>
      <c r="B181" s="19">
        <v>3.2180776965304601</v>
      </c>
      <c r="C181" s="19">
        <v>3.116313054131818</v>
      </c>
      <c r="D181" s="19">
        <v>3.0716962585115892</v>
      </c>
      <c r="E181" s="19">
        <v>3.0490044498865134</v>
      </c>
      <c r="F181" s="19">
        <v>3.0792705835773964</v>
      </c>
      <c r="G181" s="19">
        <v>3.1621544774865162</v>
      </c>
      <c r="H181" s="19">
        <v>3.2896907082369142</v>
      </c>
      <c r="I181" s="19">
        <v>3.3751545360041044</v>
      </c>
      <c r="J181" s="9" t="s">
        <v>126</v>
      </c>
      <c r="K181" t="s">
        <v>127</v>
      </c>
      <c r="L181"/>
    </row>
    <row r="182" spans="1:12" x14ac:dyDescent="0.35">
      <c r="A182" t="s">
        <v>105</v>
      </c>
      <c r="B182" s="19">
        <v>42.050933191280897</v>
      </c>
      <c r="C182" s="19">
        <v>42.106156888608353</v>
      </c>
      <c r="D182" s="19">
        <v>42.524908432463512</v>
      </c>
      <c r="E182" s="19">
        <v>43.060779780712593</v>
      </c>
      <c r="F182" s="19">
        <v>43.850470592345566</v>
      </c>
      <c r="G182" s="19">
        <v>45.426052757343179</v>
      </c>
      <c r="H182" s="19">
        <v>48.097745635577795</v>
      </c>
      <c r="I182" s="19">
        <v>50.132411486929414</v>
      </c>
      <c r="J182" s="57" t="s">
        <v>129</v>
      </c>
      <c r="K182" t="s">
        <v>130</v>
      </c>
      <c r="L182"/>
    </row>
    <row r="183" spans="1:12" x14ac:dyDescent="0.35">
      <c r="A183" t="s">
        <v>106</v>
      </c>
      <c r="B183" s="19">
        <v>22.248309982979201</v>
      </c>
      <c r="C183" s="19">
        <v>23.190417356564495</v>
      </c>
      <c r="D183" s="19">
        <v>23.427609853000714</v>
      </c>
      <c r="E183" s="19">
        <v>23.522852905515709</v>
      </c>
      <c r="F183" s="19">
        <v>24.084667024426018</v>
      </c>
      <c r="G183" s="19">
        <v>25.35916999403921</v>
      </c>
      <c r="H183" s="19">
        <v>27.623152977473975</v>
      </c>
      <c r="I183" s="19">
        <v>29.367068496802428</v>
      </c>
      <c r="J183" s="9" t="s">
        <v>126</v>
      </c>
      <c r="K183" t="s">
        <v>127</v>
      </c>
      <c r="L183"/>
    </row>
    <row r="184" spans="1:12" x14ac:dyDescent="0.35">
      <c r="A184" t="s">
        <v>107</v>
      </c>
      <c r="B184" s="19">
        <v>32.571343788809202</v>
      </c>
      <c r="C184" s="19">
        <v>34.239893432904744</v>
      </c>
      <c r="D184" s="19">
        <v>35.137225280348446</v>
      </c>
      <c r="E184" s="19">
        <v>35.888714437911212</v>
      </c>
      <c r="F184" s="19">
        <v>36.740546227303469</v>
      </c>
      <c r="G184" s="19">
        <v>38.193292427794844</v>
      </c>
      <c r="H184" s="19">
        <v>40.15912596347583</v>
      </c>
      <c r="I184" s="19">
        <v>40.932685622371281</v>
      </c>
      <c r="J184" s="56" t="s">
        <v>128</v>
      </c>
      <c r="K184" t="s">
        <v>127</v>
      </c>
      <c r="L184"/>
    </row>
    <row r="185" spans="1:12" x14ac:dyDescent="0.35">
      <c r="A185" t="s">
        <v>108</v>
      </c>
      <c r="B185" s="19">
        <v>21.9027278487853</v>
      </c>
      <c r="C185" s="19">
        <v>25.159918102321377</v>
      </c>
      <c r="D185" s="19">
        <v>26.64326323896243</v>
      </c>
      <c r="E185" s="19">
        <v>26.968392168512384</v>
      </c>
      <c r="F185" s="19">
        <v>27.545469348313269</v>
      </c>
      <c r="G185" s="19">
        <v>28.796960118303275</v>
      </c>
      <c r="H185" s="19">
        <v>30.892446436162679</v>
      </c>
      <c r="I185" s="19">
        <v>32.450629236639337</v>
      </c>
      <c r="J185" s="9" t="s">
        <v>126</v>
      </c>
      <c r="K185" t="s">
        <v>127</v>
      </c>
      <c r="L185"/>
    </row>
    <row r="186" spans="1:12" x14ac:dyDescent="0.35">
      <c r="A186" t="s">
        <v>109</v>
      </c>
      <c r="B186" s="19">
        <v>0.33077716873444302</v>
      </c>
      <c r="C186" s="19">
        <v>0.33794012674899016</v>
      </c>
      <c r="D186" s="19">
        <v>0.33439633764097937</v>
      </c>
      <c r="E186" s="19">
        <v>0.32600243310550686</v>
      </c>
      <c r="F186" s="19">
        <v>0.321719516021859</v>
      </c>
      <c r="G186" s="19">
        <v>0.31771956167849241</v>
      </c>
      <c r="H186" s="19">
        <v>0.30837322117544302</v>
      </c>
      <c r="I186" s="19">
        <v>0.29760720562002863</v>
      </c>
      <c r="J186" s="9" t="s">
        <v>126</v>
      </c>
      <c r="K186" t="s">
        <v>127</v>
      </c>
      <c r="L186"/>
    </row>
    <row r="187" spans="1:12" x14ac:dyDescent="0.35">
      <c r="A187" t="s">
        <v>110</v>
      </c>
      <c r="B187" s="19">
        <v>2.4561361334314502</v>
      </c>
      <c r="C187" s="19">
        <v>2.5257610692514114</v>
      </c>
      <c r="D187" s="19">
        <v>2.5421574329049634</v>
      </c>
      <c r="E187" s="19">
        <v>2.5535601173623372</v>
      </c>
      <c r="F187" s="19">
        <v>2.5806049230888286</v>
      </c>
      <c r="G187" s="19">
        <v>2.6237153684519372</v>
      </c>
      <c r="H187" s="19">
        <v>2.681496403886956</v>
      </c>
      <c r="I187" s="19">
        <v>2.7149368466751116</v>
      </c>
      <c r="J187" s="9" t="s">
        <v>126</v>
      </c>
      <c r="K187" t="s">
        <v>127</v>
      </c>
      <c r="L187"/>
    </row>
    <row r="188" spans="1:12" x14ac:dyDescent="0.35">
      <c r="A188" t="s">
        <v>111</v>
      </c>
      <c r="B188" s="19">
        <v>69.709401732131298</v>
      </c>
      <c r="C188" s="19">
        <v>72.464275176544191</v>
      </c>
      <c r="D188" s="19">
        <v>72.732111024174216</v>
      </c>
      <c r="E188" s="19">
        <v>72.389587316514138</v>
      </c>
      <c r="F188" s="19">
        <v>72.681854805987413</v>
      </c>
      <c r="G188" s="19">
        <v>73.337949491365862</v>
      </c>
      <c r="H188" s="19">
        <v>73.459484996457604</v>
      </c>
      <c r="I188" s="19">
        <v>72.101613285623003</v>
      </c>
      <c r="J188" s="56" t="s">
        <v>131</v>
      </c>
      <c r="K188" t="s">
        <v>127</v>
      </c>
      <c r="L188"/>
    </row>
    <row r="189" spans="1:12" x14ac:dyDescent="0.35">
      <c r="B189" s="19">
        <v>527.4507071487169</v>
      </c>
      <c r="C189" s="19">
        <v>534.21408822003582</v>
      </c>
      <c r="D189" s="19">
        <v>539.93402316658455</v>
      </c>
      <c r="E189" s="19">
        <v>544.46462911261983</v>
      </c>
      <c r="F189" s="19">
        <v>552.64381394311965</v>
      </c>
      <c r="G189" s="19">
        <v>568.43828980457761</v>
      </c>
      <c r="H189" s="19">
        <v>590.6624607356373</v>
      </c>
      <c r="I189" s="19">
        <v>603.64832940901522</v>
      </c>
      <c r="K189"/>
      <c r="L189"/>
    </row>
    <row r="190" spans="1:12" x14ac:dyDescent="0.35">
      <c r="B190" s="19"/>
      <c r="C190" s="19"/>
      <c r="D190" s="19"/>
      <c r="E190" s="19"/>
      <c r="F190" s="19"/>
      <c r="G190" s="19"/>
      <c r="H190" s="19"/>
      <c r="I190" s="19"/>
      <c r="K190"/>
      <c r="L190"/>
    </row>
    <row r="191" spans="1:12" x14ac:dyDescent="0.35">
      <c r="A191" t="s">
        <v>112</v>
      </c>
      <c r="B191" s="19">
        <v>0</v>
      </c>
      <c r="C191" s="19">
        <v>0</v>
      </c>
      <c r="D191" s="19">
        <v>0</v>
      </c>
      <c r="E191" s="19">
        <v>0</v>
      </c>
      <c r="F191" s="19">
        <v>0</v>
      </c>
      <c r="G191" s="19">
        <v>0</v>
      </c>
      <c r="H191" s="19">
        <v>0</v>
      </c>
      <c r="I191" s="19">
        <v>0</v>
      </c>
      <c r="K191"/>
      <c r="L191"/>
    </row>
    <row r="192" spans="1:12" x14ac:dyDescent="0.35">
      <c r="A192" t="s">
        <v>113</v>
      </c>
      <c r="B192" s="19">
        <v>0</v>
      </c>
      <c r="C192" s="19">
        <v>0</v>
      </c>
      <c r="D192" s="19">
        <v>0</v>
      </c>
      <c r="E192" s="19">
        <v>0</v>
      </c>
      <c r="F192" s="19">
        <v>0</v>
      </c>
      <c r="G192" s="19">
        <v>0</v>
      </c>
      <c r="H192" s="19">
        <v>0</v>
      </c>
      <c r="I192" s="19">
        <v>0</v>
      </c>
      <c r="J192"/>
      <c r="K192"/>
      <c r="L192"/>
    </row>
    <row r="193" spans="1:12" x14ac:dyDescent="0.35">
      <c r="A193" t="s">
        <v>114</v>
      </c>
      <c r="B193" s="19">
        <v>0</v>
      </c>
      <c r="C193" s="19">
        <v>0</v>
      </c>
      <c r="D193" s="19">
        <v>0</v>
      </c>
      <c r="E193" s="19">
        <v>0</v>
      </c>
      <c r="F193" s="19">
        <v>0</v>
      </c>
      <c r="G193" s="19">
        <v>0</v>
      </c>
      <c r="H193" s="19">
        <v>0</v>
      </c>
      <c r="I193" s="19">
        <v>0</v>
      </c>
      <c r="J193"/>
      <c r="K193"/>
      <c r="L193"/>
    </row>
    <row r="194" spans="1:12" x14ac:dyDescent="0.35">
      <c r="B194" s="19"/>
      <c r="C194" s="19"/>
      <c r="D194" s="19"/>
      <c r="E194" s="19"/>
      <c r="F194" s="19"/>
      <c r="G194" s="19"/>
      <c r="H194" s="19"/>
      <c r="I194" s="19"/>
      <c r="J194"/>
      <c r="K194"/>
      <c r="L194"/>
    </row>
    <row r="195" spans="1:12" ht="15.5" x14ac:dyDescent="0.35">
      <c r="A195" s="45" t="s">
        <v>132</v>
      </c>
      <c r="B195" s="46">
        <v>527.45070714871702</v>
      </c>
      <c r="C195" s="46">
        <v>534.21408822003582</v>
      </c>
      <c r="D195" s="46">
        <v>539.93402316658455</v>
      </c>
      <c r="E195" s="46">
        <v>544.46462911261983</v>
      </c>
      <c r="F195" s="46">
        <v>552.64381394311965</v>
      </c>
      <c r="G195" s="46">
        <v>568.43828980457761</v>
      </c>
      <c r="H195" s="46">
        <v>590.6624607356373</v>
      </c>
      <c r="I195" s="46">
        <v>603.64832940901522</v>
      </c>
      <c r="J195"/>
      <c r="K195"/>
      <c r="L195"/>
    </row>
    <row r="196" spans="1:12" x14ac:dyDescent="0.35">
      <c r="A196" s="13"/>
      <c r="B196" s="27">
        <v>2026</v>
      </c>
      <c r="C196" s="27">
        <v>2026</v>
      </c>
      <c r="D196" s="27">
        <v>2029</v>
      </c>
      <c r="E196" s="27">
        <v>2032</v>
      </c>
      <c r="F196" s="27">
        <v>2035</v>
      </c>
      <c r="G196" s="27">
        <v>2040</v>
      </c>
      <c r="H196" s="27">
        <v>2050</v>
      </c>
      <c r="I196" s="27">
        <v>2060</v>
      </c>
      <c r="J196"/>
      <c r="K196"/>
      <c r="L196"/>
    </row>
    <row r="197" spans="1:12" x14ac:dyDescent="0.35">
      <c r="J197"/>
      <c r="K197"/>
      <c r="L197"/>
    </row>
    <row r="198" spans="1:12" x14ac:dyDescent="0.35">
      <c r="J198"/>
      <c r="K198"/>
      <c r="L198"/>
    </row>
    <row r="199" spans="1:12" x14ac:dyDescent="0.35">
      <c r="J199"/>
      <c r="K199"/>
      <c r="L199"/>
    </row>
    <row r="200" spans="1:12" x14ac:dyDescent="0.35">
      <c r="J200"/>
      <c r="K200"/>
      <c r="L200"/>
    </row>
    <row r="202" spans="1:12" x14ac:dyDescent="0.35">
      <c r="H202" s="19"/>
    </row>
  </sheetData>
  <mergeCells count="2">
    <mergeCell ref="C101:I101"/>
    <mergeCell ref="C133:I1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14A3-747D-40F3-8418-08310D1D7061}">
  <dimension ref="A1:I35"/>
  <sheetViews>
    <sheetView workbookViewId="0">
      <selection activeCell="B26" activeCellId="1" sqref="B4:B23 B26:B28"/>
    </sheetView>
  </sheetViews>
  <sheetFormatPr defaultRowHeight="14.5" x14ac:dyDescent="0.35"/>
  <cols>
    <col min="1" max="1" width="65" customWidth="1"/>
    <col min="2" max="9" width="14.7265625" customWidth="1"/>
  </cols>
  <sheetData>
    <row r="1" spans="1:9" ht="15.5" x14ac:dyDescent="0.35">
      <c r="A1" s="26" t="s">
        <v>133</v>
      </c>
      <c r="B1" s="22"/>
      <c r="C1" s="22"/>
      <c r="D1" s="22"/>
      <c r="E1" s="22"/>
      <c r="F1" s="22"/>
    </row>
    <row r="2" spans="1:9" ht="15" thickBot="1" x14ac:dyDescent="0.4">
      <c r="A2" s="24" t="s">
        <v>134</v>
      </c>
      <c r="B2" s="22"/>
      <c r="C2" s="22"/>
      <c r="D2" s="22"/>
      <c r="E2" s="22"/>
      <c r="F2" s="22"/>
    </row>
    <row r="3" spans="1:9" ht="15.5" thickTop="1" thickBot="1" x14ac:dyDescent="0.4">
      <c r="A3" s="24"/>
      <c r="B3" s="25">
        <v>2022</v>
      </c>
      <c r="C3" s="25">
        <v>2026</v>
      </c>
      <c r="D3" s="25">
        <v>2029</v>
      </c>
      <c r="E3" s="25">
        <v>2032</v>
      </c>
      <c r="F3" s="25">
        <v>2035</v>
      </c>
      <c r="G3" s="25">
        <v>2040</v>
      </c>
      <c r="H3" s="25">
        <v>2050</v>
      </c>
      <c r="I3" s="25">
        <v>2060</v>
      </c>
    </row>
    <row r="4" spans="1:9" ht="15" thickTop="1" x14ac:dyDescent="0.35">
      <c r="A4" s="28" t="s">
        <v>94</v>
      </c>
      <c r="B4" s="41">
        <v>9.1192356728638622</v>
      </c>
      <c r="C4" s="41">
        <v>8.9468523978680725</v>
      </c>
      <c r="D4" s="42">
        <v>9.0787810738613501</v>
      </c>
      <c r="E4" s="42">
        <v>9.3681548435850015</v>
      </c>
      <c r="F4" s="42">
        <v>9.6030800233063527</v>
      </c>
      <c r="G4" s="42">
        <v>9.732997167265939</v>
      </c>
      <c r="H4" s="42">
        <v>9.6152135474349532</v>
      </c>
      <c r="I4" s="42">
        <v>9.4412851609636377</v>
      </c>
    </row>
    <row r="5" spans="1:9" ht="14.5" customHeight="1" x14ac:dyDescent="0.35">
      <c r="A5" s="28" t="s">
        <v>95</v>
      </c>
      <c r="B5" s="41">
        <v>1.2502123492989192</v>
      </c>
      <c r="C5" s="41">
        <v>1.289995195015563</v>
      </c>
      <c r="D5" s="42">
        <v>1.3094642006130812</v>
      </c>
      <c r="E5" s="42">
        <v>1.3249292629557767</v>
      </c>
      <c r="F5" s="42">
        <v>1.3254304827952004</v>
      </c>
      <c r="G5" s="42">
        <v>1.314973931355218</v>
      </c>
      <c r="H5" s="42">
        <v>1.2664588461043493</v>
      </c>
      <c r="I5" s="42">
        <v>1.2228539820782416</v>
      </c>
    </row>
    <row r="6" spans="1:9" x14ac:dyDescent="0.35">
      <c r="A6" s="28" t="s">
        <v>96</v>
      </c>
      <c r="B6" s="41">
        <v>5.1860753668128199</v>
      </c>
      <c r="C6" s="41">
        <v>4.9803799433126308</v>
      </c>
      <c r="D6" s="42">
        <v>4.8129227303461786</v>
      </c>
      <c r="E6" s="42">
        <v>4.6898890209189439</v>
      </c>
      <c r="F6" s="42">
        <v>4.5559839498504955</v>
      </c>
      <c r="G6" s="42">
        <v>4.2802997797864979</v>
      </c>
      <c r="H6" s="42">
        <v>3.645127916845686</v>
      </c>
      <c r="I6" s="42">
        <v>3.050425233527033</v>
      </c>
    </row>
    <row r="7" spans="1:9" x14ac:dyDescent="0.35">
      <c r="A7" s="28" t="s">
        <v>70</v>
      </c>
      <c r="B7" s="41">
        <v>71.262808507331073</v>
      </c>
      <c r="C7" s="41">
        <v>70.396439974727826</v>
      </c>
      <c r="D7" s="42">
        <v>72.893664663816068</v>
      </c>
      <c r="E7" s="42">
        <v>75.706123987326421</v>
      </c>
      <c r="F7" s="42">
        <v>76.357146138033997</v>
      </c>
      <c r="G7" s="42">
        <v>77.050541436436333</v>
      </c>
      <c r="H7" s="42">
        <v>73.603638435431051</v>
      </c>
      <c r="I7" s="42">
        <v>69.884190964489576</v>
      </c>
    </row>
    <row r="8" spans="1:9" x14ac:dyDescent="0.35">
      <c r="A8" s="28" t="s">
        <v>74</v>
      </c>
      <c r="B8" s="41">
        <v>135.16340016171367</v>
      </c>
      <c r="C8" s="41">
        <v>130.08600527739313</v>
      </c>
      <c r="D8" s="42">
        <v>131.87589018434568</v>
      </c>
      <c r="E8" s="42">
        <v>121.08787735541051</v>
      </c>
      <c r="F8" s="42">
        <v>128.86811585627845</v>
      </c>
      <c r="G8" s="42">
        <v>141.32296019073917</v>
      </c>
      <c r="H8" s="42">
        <v>157.52219330048754</v>
      </c>
      <c r="I8" s="42">
        <v>171.40868139227817</v>
      </c>
    </row>
    <row r="9" spans="1:9" x14ac:dyDescent="0.35">
      <c r="A9" s="28" t="s">
        <v>97</v>
      </c>
      <c r="B9" s="41">
        <v>36.669698309621765</v>
      </c>
      <c r="C9" s="41">
        <v>35.46265807633656</v>
      </c>
      <c r="D9" s="42">
        <v>35.142426173727124</v>
      </c>
      <c r="E9" s="42">
        <v>35.934231186987205</v>
      </c>
      <c r="F9" s="42">
        <v>35.672545717509244</v>
      </c>
      <c r="G9" s="42">
        <v>35.239987602436678</v>
      </c>
      <c r="H9" s="42">
        <v>33.736055924600997</v>
      </c>
      <c r="I9" s="42">
        <v>31.373702732286176</v>
      </c>
    </row>
    <row r="10" spans="1:9" x14ac:dyDescent="0.35">
      <c r="A10" s="28" t="s">
        <v>98</v>
      </c>
      <c r="B10" s="41">
        <v>111.95441146590359</v>
      </c>
      <c r="C10" s="41">
        <v>102.21560378207795</v>
      </c>
      <c r="D10" s="42">
        <v>100.13662531089969</v>
      </c>
      <c r="E10" s="42">
        <v>102.01769094071308</v>
      </c>
      <c r="F10" s="42">
        <v>101.56795422346971</v>
      </c>
      <c r="G10" s="42">
        <v>101.07416074020034</v>
      </c>
      <c r="H10" s="42">
        <v>97.944393864710094</v>
      </c>
      <c r="I10" s="42">
        <v>92.247670508370589</v>
      </c>
    </row>
    <row r="11" spans="1:9" x14ac:dyDescent="0.35">
      <c r="A11" s="28" t="s">
        <v>99</v>
      </c>
      <c r="B11" s="41">
        <v>50.227442400790459</v>
      </c>
      <c r="C11" s="41">
        <v>54.517180801352644</v>
      </c>
      <c r="D11" s="42">
        <v>56.039041253632412</v>
      </c>
      <c r="E11" s="42">
        <v>57.090030076039447</v>
      </c>
      <c r="F11" s="42">
        <v>57.693442794004021</v>
      </c>
      <c r="G11" s="42">
        <v>58.549168030169199</v>
      </c>
      <c r="H11" s="42">
        <v>58.876413524306244</v>
      </c>
      <c r="I11" s="42">
        <v>58.38592408295839</v>
      </c>
    </row>
    <row r="12" spans="1:9" x14ac:dyDescent="0.35">
      <c r="A12" s="28" t="s">
        <v>100</v>
      </c>
      <c r="B12" s="41">
        <v>21.266880569816475</v>
      </c>
      <c r="C12" s="41">
        <v>20.75658700976026</v>
      </c>
      <c r="D12" s="42">
        <v>20.332029435453165</v>
      </c>
      <c r="E12" s="42">
        <v>20.27802726810112</v>
      </c>
      <c r="F12" s="42">
        <v>19.90818240252533</v>
      </c>
      <c r="G12" s="42">
        <v>19.415645147908986</v>
      </c>
      <c r="H12" s="42">
        <v>18.430037555393906</v>
      </c>
      <c r="I12" s="42">
        <v>17.293399775419424</v>
      </c>
    </row>
    <row r="13" spans="1:9" x14ac:dyDescent="0.35">
      <c r="A13" s="28" t="s">
        <v>101</v>
      </c>
      <c r="B13" s="41">
        <v>66.658012189183509</v>
      </c>
      <c r="C13" s="41">
        <v>66.801212978416359</v>
      </c>
      <c r="D13" s="42">
        <v>66.225650528282699</v>
      </c>
      <c r="E13" s="42">
        <v>66.539828180308234</v>
      </c>
      <c r="F13" s="42">
        <v>66.029573684740654</v>
      </c>
      <c r="G13" s="42">
        <v>64.527444327539285</v>
      </c>
      <c r="H13" s="42">
        <v>59.963724243828594</v>
      </c>
      <c r="I13" s="42">
        <v>54.902711849372089</v>
      </c>
    </row>
    <row r="14" spans="1:9" x14ac:dyDescent="0.35">
      <c r="A14" s="28" t="s">
        <v>102</v>
      </c>
      <c r="B14" s="41">
        <v>64.284616654999724</v>
      </c>
      <c r="C14" s="41">
        <v>65.342977319469142</v>
      </c>
      <c r="D14" s="42">
        <v>65.863757954271861</v>
      </c>
      <c r="E14" s="42">
        <v>67.080664757569465</v>
      </c>
      <c r="F14" s="42">
        <v>67.74587584764511</v>
      </c>
      <c r="G14" s="42">
        <v>67.868434674577173</v>
      </c>
      <c r="H14" s="42">
        <v>65.624129447122229</v>
      </c>
      <c r="I14" s="42">
        <v>62.263835233560805</v>
      </c>
    </row>
    <row r="15" spans="1:9" x14ac:dyDescent="0.35">
      <c r="A15" s="28" t="s">
        <v>103</v>
      </c>
      <c r="B15" s="41">
        <v>170.83768582574285</v>
      </c>
      <c r="C15" s="41">
        <v>176.22183702370569</v>
      </c>
      <c r="D15" s="42">
        <v>179.60470802169152</v>
      </c>
      <c r="E15" s="42">
        <v>185.53609727416062</v>
      </c>
      <c r="F15" s="42">
        <v>188.50802630806086</v>
      </c>
      <c r="G15" s="42">
        <v>192.33444752338454</v>
      </c>
      <c r="H15" s="42">
        <v>199.78093479894943</v>
      </c>
      <c r="I15" s="42">
        <v>207.33636430961744</v>
      </c>
    </row>
    <row r="16" spans="1:9" x14ac:dyDescent="0.35">
      <c r="A16" s="28" t="s">
        <v>104</v>
      </c>
      <c r="B16" s="41">
        <v>22.566313985895476</v>
      </c>
      <c r="C16" s="41">
        <v>22.267014288154041</v>
      </c>
      <c r="D16" s="42">
        <v>21.986649113677423</v>
      </c>
      <c r="E16" s="42">
        <v>22.171219097791933</v>
      </c>
      <c r="F16" s="42">
        <v>22.196321181719163</v>
      </c>
      <c r="G16" s="42">
        <v>22.264870742011325</v>
      </c>
      <c r="H16" s="42">
        <v>22.000707368050755</v>
      </c>
      <c r="I16" s="42">
        <v>21.460344131120404</v>
      </c>
    </row>
    <row r="17" spans="1:9" x14ac:dyDescent="0.35">
      <c r="A17" s="28" t="s">
        <v>105</v>
      </c>
      <c r="B17" s="41">
        <v>88.527157679965228</v>
      </c>
      <c r="C17" s="41">
        <v>90.385057561290338</v>
      </c>
      <c r="D17" s="42">
        <v>91.541928365448015</v>
      </c>
      <c r="E17" s="42">
        <v>93.897002891996436</v>
      </c>
      <c r="F17" s="42">
        <v>94.956625475393494</v>
      </c>
      <c r="G17" s="42">
        <v>96.32724133301106</v>
      </c>
      <c r="H17" s="42">
        <v>97.282905131671228</v>
      </c>
      <c r="I17" s="42">
        <v>97.028363375937246</v>
      </c>
    </row>
    <row r="18" spans="1:9" x14ac:dyDescent="0.35">
      <c r="A18" s="28" t="s">
        <v>135</v>
      </c>
      <c r="B18" s="41">
        <v>126.47509621146108</v>
      </c>
      <c r="C18" s="41">
        <v>130.58190520502785</v>
      </c>
      <c r="D18" s="42">
        <v>132.19535487655583</v>
      </c>
      <c r="E18" s="42">
        <v>134.19830914887626</v>
      </c>
      <c r="F18" s="42">
        <v>135.71141811323378</v>
      </c>
      <c r="G18" s="42">
        <v>137.418230044849</v>
      </c>
      <c r="H18" s="42">
        <v>138.92917737138237</v>
      </c>
      <c r="I18" s="42">
        <v>140.36649041960186</v>
      </c>
    </row>
    <row r="19" spans="1:9" x14ac:dyDescent="0.35">
      <c r="A19" s="28" t="s">
        <v>136</v>
      </c>
      <c r="B19" s="41">
        <v>165.18076529571593</v>
      </c>
      <c r="C19" s="41">
        <v>176.20358331609529</v>
      </c>
      <c r="D19" s="42">
        <v>180.93507633311256</v>
      </c>
      <c r="E19" s="42">
        <v>187.30254041572491</v>
      </c>
      <c r="F19" s="42">
        <v>190.04457017519806</v>
      </c>
      <c r="G19" s="42">
        <v>192.88392327969504</v>
      </c>
      <c r="H19" s="42">
        <v>192.7590141425012</v>
      </c>
      <c r="I19" s="42">
        <v>187.57706110573596</v>
      </c>
    </row>
    <row r="20" spans="1:9" x14ac:dyDescent="0.35">
      <c r="A20" s="28" t="s">
        <v>108</v>
      </c>
      <c r="B20" s="41">
        <v>37.368673834148161</v>
      </c>
      <c r="C20" s="41">
        <v>42.769233659947844</v>
      </c>
      <c r="D20" s="42">
        <v>45.100766094949599</v>
      </c>
      <c r="E20" s="42">
        <v>46.109235276879645</v>
      </c>
      <c r="F20" s="42">
        <v>46.767267807956593</v>
      </c>
      <c r="G20" s="42">
        <v>47.791248231130673</v>
      </c>
      <c r="H20" s="42">
        <v>48.810366786757264</v>
      </c>
      <c r="I20" s="42">
        <v>49.210795460225761</v>
      </c>
    </row>
    <row r="21" spans="1:9" x14ac:dyDescent="0.35">
      <c r="A21" s="28" t="s">
        <v>109</v>
      </c>
      <c r="B21" s="41">
        <v>16.700051814312555</v>
      </c>
      <c r="C21" s="41">
        <v>17.426612645294856</v>
      </c>
      <c r="D21" s="42">
        <v>17.339354718463127</v>
      </c>
      <c r="E21" s="42">
        <v>16.998449234395764</v>
      </c>
      <c r="F21" s="42">
        <v>16.734767364315388</v>
      </c>
      <c r="G21" s="42">
        <v>16.286008993593285</v>
      </c>
      <c r="H21" s="42">
        <v>15.234933802472348</v>
      </c>
      <c r="I21" s="42">
        <v>14.292743180927809</v>
      </c>
    </row>
    <row r="22" spans="1:9" x14ac:dyDescent="0.35">
      <c r="A22" s="28" t="s">
        <v>110</v>
      </c>
      <c r="B22" s="41">
        <v>124.00372386112437</v>
      </c>
      <c r="C22" s="41">
        <v>130.2463256193995</v>
      </c>
      <c r="D22" s="42">
        <v>131.8177399617399</v>
      </c>
      <c r="E22" s="42">
        <v>133.14796950583909</v>
      </c>
      <c r="F22" s="42">
        <v>134.23439019522934</v>
      </c>
      <c r="G22" s="42">
        <v>134.48920759394872</v>
      </c>
      <c r="H22" s="42">
        <v>132.4771977575291</v>
      </c>
      <c r="I22" s="42">
        <v>130.38627549733593</v>
      </c>
    </row>
    <row r="23" spans="1:9" x14ac:dyDescent="0.35">
      <c r="A23" s="28" t="s">
        <v>111</v>
      </c>
      <c r="B23" s="41">
        <v>72.259218800607727</v>
      </c>
      <c r="C23" s="41">
        <v>76.645415702322296</v>
      </c>
      <c r="D23" s="42">
        <v>77.233490433640867</v>
      </c>
      <c r="E23" s="42">
        <v>77.62809390786623</v>
      </c>
      <c r="F23" s="42">
        <v>77.548831625814699</v>
      </c>
      <c r="G23" s="42">
        <v>76.827920233533021</v>
      </c>
      <c r="H23" s="42">
        <v>73.72492506890903</v>
      </c>
      <c r="I23" s="42">
        <v>69.708553329604001</v>
      </c>
    </row>
    <row r="24" spans="1:9" x14ac:dyDescent="0.35">
      <c r="A24" s="40" t="s">
        <v>137</v>
      </c>
      <c r="B24" s="29">
        <v>1396.961480957309</v>
      </c>
      <c r="C24" s="29">
        <v>1423.5428777769675</v>
      </c>
      <c r="D24" s="42">
        <v>1441.4653214285281</v>
      </c>
      <c r="E24" s="42">
        <v>1458.1063636334461</v>
      </c>
      <c r="F24" s="42">
        <v>1476.0295493670799</v>
      </c>
      <c r="G24" s="42">
        <v>1496.9997110035713</v>
      </c>
      <c r="H24" s="42">
        <v>1501.2275488344883</v>
      </c>
      <c r="I24" s="42">
        <v>1488.8416717254104</v>
      </c>
    </row>
    <row r="25" spans="1:9" x14ac:dyDescent="0.35">
      <c r="A25" s="58" t="s">
        <v>138</v>
      </c>
      <c r="B25" s="29"/>
      <c r="C25" s="29"/>
      <c r="D25" s="42"/>
      <c r="E25" s="42"/>
      <c r="F25" s="42"/>
      <c r="G25" s="42"/>
      <c r="H25" s="42"/>
      <c r="I25" s="42"/>
    </row>
    <row r="26" spans="1:9" x14ac:dyDescent="0.35">
      <c r="A26" s="28" t="s">
        <v>112</v>
      </c>
      <c r="B26" s="29">
        <v>61.124768880372919</v>
      </c>
      <c r="C26" s="29">
        <v>60.631069275598882</v>
      </c>
      <c r="D26" s="42">
        <v>61.541484470682143</v>
      </c>
      <c r="E26" s="42">
        <v>62.675802124614286</v>
      </c>
      <c r="F26" s="42">
        <v>63.425194073146898</v>
      </c>
      <c r="G26" s="42">
        <v>64.328984371971913</v>
      </c>
      <c r="H26" s="42">
        <v>62.125863154367195</v>
      </c>
      <c r="I26" s="42">
        <v>57.019836718498517</v>
      </c>
    </row>
    <row r="27" spans="1:9" ht="15" customHeight="1" x14ac:dyDescent="0.35">
      <c r="A27" s="28" t="s">
        <v>113</v>
      </c>
      <c r="B27" s="29">
        <v>36.749874588548003</v>
      </c>
      <c r="C27" s="29">
        <v>35.516768132593128</v>
      </c>
      <c r="D27" s="42">
        <v>35.710147274310117</v>
      </c>
      <c r="E27" s="42">
        <v>38.065434011229335</v>
      </c>
      <c r="F27" s="42">
        <v>38.969229760042971</v>
      </c>
      <c r="G27" s="42">
        <v>39.998793805596193</v>
      </c>
      <c r="H27" s="42">
        <v>43.582556862964402</v>
      </c>
      <c r="I27" s="42">
        <v>48.036408640711095</v>
      </c>
    </row>
    <row r="28" spans="1:9" x14ac:dyDescent="0.35">
      <c r="A28" s="28" t="s">
        <v>114</v>
      </c>
      <c r="B28" s="29">
        <v>104</v>
      </c>
      <c r="C28" s="29">
        <v>104</v>
      </c>
      <c r="D28" s="42">
        <v>104</v>
      </c>
      <c r="E28" s="42">
        <v>104</v>
      </c>
      <c r="F28" s="42">
        <v>104</v>
      </c>
      <c r="G28" s="42">
        <v>104</v>
      </c>
      <c r="H28" s="42">
        <v>104</v>
      </c>
      <c r="I28" s="42">
        <v>104</v>
      </c>
    </row>
    <row r="29" spans="1:9" x14ac:dyDescent="0.35">
      <c r="A29" s="28" t="s">
        <v>139</v>
      </c>
      <c r="B29" s="29">
        <v>0</v>
      </c>
      <c r="C29" s="29">
        <v>0</v>
      </c>
      <c r="D29" s="42">
        <v>0</v>
      </c>
      <c r="E29" s="42">
        <v>0</v>
      </c>
      <c r="F29" s="42">
        <v>0</v>
      </c>
      <c r="G29" s="42">
        <v>0</v>
      </c>
      <c r="H29" s="42">
        <v>0</v>
      </c>
      <c r="I29" s="42">
        <v>0</v>
      </c>
    </row>
    <row r="30" spans="1:9" x14ac:dyDescent="0.35">
      <c r="A30" s="16" t="s">
        <v>140</v>
      </c>
      <c r="B30" s="29">
        <v>1598.8361244262298</v>
      </c>
      <c r="C30" s="29">
        <v>1623.6907151851597</v>
      </c>
      <c r="D30" s="30">
        <v>1642.7169531735206</v>
      </c>
      <c r="E30" s="30">
        <v>1662.8475997692899</v>
      </c>
      <c r="F30" s="42">
        <v>1682.4239732002698</v>
      </c>
      <c r="G30" s="42">
        <v>1705.3274891811395</v>
      </c>
      <c r="H30" s="42">
        <v>1710.9359688518198</v>
      </c>
      <c r="I30" s="30">
        <v>1697.8979170846198</v>
      </c>
    </row>
    <row r="32" spans="1:9" x14ac:dyDescent="0.35">
      <c r="A32" s="15"/>
    </row>
    <row r="33" spans="6:7" x14ac:dyDescent="0.35">
      <c r="F33" s="14"/>
    </row>
    <row r="34" spans="6:7" x14ac:dyDescent="0.35">
      <c r="F34" s="18"/>
      <c r="G34" s="15"/>
    </row>
    <row r="35" spans="6:7" x14ac:dyDescent="0.35">
      <c r="F35" s="1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9074-FFE2-43F6-A21E-3DAC7A8F2A0F}">
  <dimension ref="A1:K15"/>
  <sheetViews>
    <sheetView workbookViewId="0">
      <selection activeCell="D17" sqref="D17:D20"/>
    </sheetView>
  </sheetViews>
  <sheetFormatPr defaultRowHeight="14.5" x14ac:dyDescent="0.35"/>
  <cols>
    <col min="1" max="1" width="18.453125" customWidth="1"/>
    <col min="2" max="2" width="14" bestFit="1" customWidth="1"/>
    <col min="3" max="3" width="12.453125" customWidth="1"/>
  </cols>
  <sheetData>
    <row r="1" spans="1:11" ht="15.5" x14ac:dyDescent="0.35">
      <c r="A1" s="72" t="s">
        <v>141</v>
      </c>
      <c r="B1" s="28"/>
      <c r="C1" s="28"/>
      <c r="D1" s="28"/>
      <c r="E1" s="28"/>
      <c r="F1" s="28"/>
      <c r="G1" s="28"/>
      <c r="H1" s="28"/>
      <c r="I1" s="28"/>
      <c r="J1" s="28"/>
    </row>
    <row r="2" spans="1:11" ht="15" thickBot="1" x14ac:dyDescent="0.4">
      <c r="A2" s="28"/>
      <c r="B2" s="28"/>
      <c r="C2" s="28"/>
      <c r="D2" s="28"/>
      <c r="E2" s="28"/>
      <c r="F2" s="28"/>
      <c r="G2" s="28"/>
      <c r="H2" s="28"/>
      <c r="I2" s="28"/>
      <c r="J2" s="28"/>
    </row>
    <row r="3" spans="1:11" ht="15" thickTop="1" x14ac:dyDescent="0.35">
      <c r="A3" s="1" t="s">
        <v>142</v>
      </c>
      <c r="B3" s="1" t="s">
        <v>143</v>
      </c>
      <c r="C3" s="1" t="s">
        <v>144</v>
      </c>
      <c r="D3" s="1" t="s">
        <v>145</v>
      </c>
      <c r="E3" s="2" t="s">
        <v>146</v>
      </c>
    </row>
    <row r="4" spans="1:11" x14ac:dyDescent="0.35">
      <c r="A4" s="73" t="s">
        <v>147</v>
      </c>
      <c r="B4" s="3" t="s">
        <v>148</v>
      </c>
      <c r="C4" s="3" t="s">
        <v>149</v>
      </c>
      <c r="D4" s="3" t="s">
        <v>150</v>
      </c>
      <c r="E4" s="3" t="s">
        <v>151</v>
      </c>
    </row>
    <row r="5" spans="1:11" ht="15" thickBot="1" x14ac:dyDescent="0.4">
      <c r="A5" s="88"/>
      <c r="B5" s="89"/>
      <c r="C5" s="91" t="s">
        <v>152</v>
      </c>
      <c r="D5" s="91"/>
      <c r="E5" s="91"/>
      <c r="F5" s="91"/>
      <c r="G5" s="91"/>
      <c r="H5" s="91"/>
      <c r="I5" s="91"/>
      <c r="J5" s="91"/>
      <c r="K5" s="89"/>
    </row>
    <row r="6" spans="1:11" ht="15" thickTop="1" x14ac:dyDescent="0.35">
      <c r="A6" s="1" t="s">
        <v>153</v>
      </c>
      <c r="B6" s="1" t="s">
        <v>154</v>
      </c>
      <c r="C6" s="1" t="s">
        <v>155</v>
      </c>
      <c r="D6" s="1">
        <v>2022</v>
      </c>
      <c r="E6" s="1">
        <v>2026</v>
      </c>
      <c r="F6" s="1">
        <v>2029</v>
      </c>
      <c r="G6" s="1">
        <v>2032</v>
      </c>
      <c r="H6" s="1">
        <v>2035</v>
      </c>
      <c r="I6" s="1">
        <v>2040</v>
      </c>
      <c r="J6" s="1">
        <v>2050</v>
      </c>
      <c r="K6" s="2">
        <v>2060</v>
      </c>
    </row>
    <row r="7" spans="1:11" x14ac:dyDescent="0.35">
      <c r="A7" s="33" t="s">
        <v>156</v>
      </c>
      <c r="B7" s="33" t="s">
        <v>157</v>
      </c>
      <c r="C7" s="33" t="s">
        <v>158</v>
      </c>
      <c r="D7" s="34">
        <v>1494.8361244262301</v>
      </c>
      <c r="E7" s="35">
        <v>1519.6907151851599</v>
      </c>
      <c r="F7" s="35">
        <v>1538.7169531735201</v>
      </c>
      <c r="G7" s="35">
        <v>1558.8475997692899</v>
      </c>
      <c r="H7" s="35">
        <v>1578.42397320027</v>
      </c>
      <c r="I7" s="35">
        <v>1601.32748918114</v>
      </c>
      <c r="J7" s="35">
        <v>1606.93596885182</v>
      </c>
      <c r="K7" s="35">
        <v>1593.8979170846201</v>
      </c>
    </row>
    <row r="8" spans="1:11" x14ac:dyDescent="0.35">
      <c r="A8" s="36" t="s">
        <v>156</v>
      </c>
      <c r="B8" s="36" t="s">
        <v>159</v>
      </c>
      <c r="C8" s="36" t="s">
        <v>158</v>
      </c>
      <c r="D8" s="37">
        <v>652.60779817839398</v>
      </c>
      <c r="E8" s="38">
        <v>643.15862766565101</v>
      </c>
      <c r="F8" s="38">
        <v>638.75751305455901</v>
      </c>
      <c r="G8" s="38">
        <v>637.174891104425</v>
      </c>
      <c r="H8" s="38">
        <v>637.19276142808098</v>
      </c>
      <c r="I8" s="38">
        <v>637.60424615638397</v>
      </c>
      <c r="J8" s="38">
        <v>627.85049927026796</v>
      </c>
      <c r="K8" s="38">
        <v>619.38914994495201</v>
      </c>
    </row>
    <row r="9" spans="1:11" x14ac:dyDescent="0.35">
      <c r="A9" s="36" t="s">
        <v>156</v>
      </c>
      <c r="B9" s="36" t="s">
        <v>160</v>
      </c>
      <c r="C9" s="36" t="s">
        <v>158</v>
      </c>
      <c r="D9" s="37">
        <v>57.959132703648898</v>
      </c>
      <c r="E9" s="38">
        <v>56.4161733281097</v>
      </c>
      <c r="F9" s="38">
        <v>55.922871650199603</v>
      </c>
      <c r="G9" s="38">
        <v>55.801384398994102</v>
      </c>
      <c r="H9" s="38">
        <v>55.925521539673703</v>
      </c>
      <c r="I9" s="38">
        <v>56.339998732069901</v>
      </c>
      <c r="J9" s="38">
        <v>55.684842211234198</v>
      </c>
      <c r="K9" s="38">
        <v>54.768082607022102</v>
      </c>
    </row>
    <row r="10" spans="1:11" x14ac:dyDescent="0.35">
      <c r="A10" s="36" t="s">
        <v>156</v>
      </c>
      <c r="B10" s="36" t="s">
        <v>161</v>
      </c>
      <c r="C10" s="36" t="s">
        <v>158</v>
      </c>
      <c r="D10" s="37">
        <v>277.92910157223298</v>
      </c>
      <c r="E10" s="38">
        <v>299.09701954939999</v>
      </c>
      <c r="F10" s="38">
        <v>313.578521089405</v>
      </c>
      <c r="G10" s="38">
        <v>327.61448393507101</v>
      </c>
      <c r="H10" s="38">
        <v>340.73398336597899</v>
      </c>
      <c r="I10" s="38">
        <v>359.42457263544799</v>
      </c>
      <c r="J10" s="38">
        <v>382.28007144411498</v>
      </c>
      <c r="K10" s="38">
        <v>391.22819840073203</v>
      </c>
    </row>
    <row r="11" spans="1:11" x14ac:dyDescent="0.35">
      <c r="A11" s="36" t="s">
        <v>156</v>
      </c>
      <c r="B11" s="36" t="s">
        <v>162</v>
      </c>
      <c r="C11" s="36" t="s">
        <v>158</v>
      </c>
      <c r="D11" s="37">
        <v>506.34009197195502</v>
      </c>
      <c r="E11" s="38">
        <v>521.01889464199405</v>
      </c>
      <c r="F11" s="38">
        <v>530.45804737935703</v>
      </c>
      <c r="G11" s="38">
        <v>538.25684033079995</v>
      </c>
      <c r="H11" s="38">
        <v>544.57170686653797</v>
      </c>
      <c r="I11" s="38">
        <v>547.95867165723905</v>
      </c>
      <c r="J11" s="38">
        <v>541.120555926208</v>
      </c>
      <c r="K11" s="38">
        <v>528.51248613191603</v>
      </c>
    </row>
    <row r="15" spans="1:11" ht="30" customHeight="1" x14ac:dyDescent="0.35">
      <c r="A15" s="90" t="s">
        <v>163</v>
      </c>
      <c r="B15" s="90"/>
      <c r="C15" s="90"/>
      <c r="D15" s="90"/>
      <c r="E15" s="90"/>
      <c r="F15" s="90"/>
      <c r="G15" s="90"/>
      <c r="H15" s="90"/>
      <c r="I15" s="90"/>
      <c r="J15" s="90"/>
    </row>
  </sheetData>
  <mergeCells count="3">
    <mergeCell ref="A5:B5"/>
    <mergeCell ref="A15:J15"/>
    <mergeCell ref="C5:K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614df57-3ffc-4d94-a759-9bd096a31ad6">
      <Terms xmlns="http://schemas.microsoft.com/office/infopath/2007/PartnerControls"/>
    </lcf76f155ced4ddcb4097134ff3c332f>
    <TaxCatchAll xmlns="ff9f1664-8b92-41ff-abc8-12a0c48af88f" xsi:nil="true"/>
    <_ip_UnifiedCompliancePolicyProperties xmlns="http://schemas.microsoft.com/sharepoint/v3" xsi:nil="true"/>
    <comment xmlns="8614df57-3ffc-4d94-a759-9bd096a31ad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A28EC77DF2654C9B082E3F4EAE6990" ma:contentTypeVersion="20" ma:contentTypeDescription="Create a new document." ma:contentTypeScope="" ma:versionID="5c027a9e040926dbd85e8d28daff0a8e">
  <xsd:schema xmlns:xsd="http://www.w3.org/2001/XMLSchema" xmlns:xs="http://www.w3.org/2001/XMLSchema" xmlns:p="http://schemas.microsoft.com/office/2006/metadata/properties" xmlns:ns1="http://schemas.microsoft.com/sharepoint/v3" xmlns:ns2="8614df57-3ffc-4d94-a759-9bd096a31ad6" xmlns:ns3="ff9f1664-8b92-41ff-abc8-12a0c48af88f" targetNamespace="http://schemas.microsoft.com/office/2006/metadata/properties" ma:root="true" ma:fieldsID="3c6bf5d0648c7b112815f2f884771874" ns1:_="" ns2:_="" ns3:_="">
    <xsd:import namespace="http://schemas.microsoft.com/sharepoint/v3"/>
    <xsd:import namespace="8614df57-3ffc-4d94-a759-9bd096a31ad6"/>
    <xsd:import namespace="ff9f1664-8b92-41ff-abc8-12a0c48af88f"/>
    <xsd:element name="properties">
      <xsd:complexType>
        <xsd:sequence>
          <xsd:element name="documentManagement">
            <xsd:complexType>
              <xsd:all>
                <xsd:element ref="ns2:comment"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1:_ip_UnifiedCompliancePolicyProperties" minOccurs="0"/>
                <xsd:element ref="ns1:_ip_UnifiedCompliancePolicyUIAction"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14df57-3ffc-4d94-a759-9bd096a31ad6" elementFormDefault="qualified">
    <xsd:import namespace="http://schemas.microsoft.com/office/2006/documentManagement/types"/>
    <xsd:import namespace="http://schemas.microsoft.com/office/infopath/2007/PartnerControls"/>
    <xsd:element name="comment" ma:index="8" nillable="true" ma:displayName="comment" ma:description="Contains shapefile for Indicator 15_5_1 " ma:format="Dropdown" ma:internalName="comment">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dd0a8f6-c2df-45ea-93d6-61234a1c0ff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9f1664-8b92-41ff-abc8-12a0c48af88f"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93d9c24f-4191-43b1-b6f0-76d0b161c7f7}" ma:internalName="TaxCatchAll" ma:showField="CatchAllData" ma:web="ff9f1664-8b92-41ff-abc8-12a0c48af8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9A51B8-71AB-4151-80FA-42B012C1BA5F}">
  <ds:schemaRefs>
    <ds:schemaRef ds:uri="http://schemas.microsoft.com/sharepoint/v3"/>
    <ds:schemaRef ds:uri="http://purl.org/dc/terms/"/>
    <ds:schemaRef ds:uri="8614df57-3ffc-4d94-a759-9bd096a31ad6"/>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ff9f1664-8b92-41ff-abc8-12a0c48af88f"/>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EA29846F-791D-4829-874C-B53BB42FBE6D}">
  <ds:schemaRefs>
    <ds:schemaRef ds:uri="http://schemas.microsoft.com/sharepoint/v3/contenttype/forms"/>
  </ds:schemaRefs>
</ds:datastoreItem>
</file>

<file path=customXml/itemProps3.xml><?xml version="1.0" encoding="utf-8"?>
<ds:datastoreItem xmlns:ds="http://schemas.openxmlformats.org/officeDocument/2006/customXml" ds:itemID="{2B7D8E60-E79C-4FB5-BBAB-E4BADA0125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14df57-3ffc-4d94-a759-9bd096a31ad6"/>
    <ds:schemaRef ds:uri="ff9f1664-8b92-41ff-abc8-12a0c48af8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1a. Summary Forecast_Attraction</vt:lpstr>
      <vt:lpstr>1b. Summary Forecast_Production</vt:lpstr>
      <vt:lpstr>2. Labor Force Components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Young</dc:creator>
  <cp:keywords/>
  <dc:description/>
  <cp:lastModifiedBy>Nivedya Madankara Kottayi</cp:lastModifiedBy>
  <cp:revision/>
  <dcterms:created xsi:type="dcterms:W3CDTF">2023-03-22T14:59:51Z</dcterms:created>
  <dcterms:modified xsi:type="dcterms:W3CDTF">2023-12-05T17:56:09Z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0x0101007CA28EC77DF2654C9B082E3F4EAE6990</vt:lpwstr>
  </property>
  <property fmtid="{D5CDD505-2E9C-101B-9397-08002B2CF9AE}" pid="3" name="MediaServiceImageTags">
    <vt:lpwstr/>
  </property>
</Properties>
</file>